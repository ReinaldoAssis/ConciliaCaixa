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lanilha" sheetId="1" r:id="rId1"/>
  </sheets>
</workbook>
</file>

<file path=xl/sharedStrings.xml><?xml version="1.0" encoding="utf-8"?>
<sst xmlns="http://schemas.openxmlformats.org/spreadsheetml/2006/main" count="2698" uniqueCount="2698">
  <si>
    <t>Nome</t>
  </si>
  <si>
    <t>Grupo</t>
  </si>
  <si>
    <t>Valor</t>
  </si>
  <si>
    <t>Custo médio</t>
  </si>
  <si>
    <t>Estoque total</t>
  </si>
  <si>
    <t>Unidade</t>
  </si>
  <si>
    <t>Cód. Ref.</t>
  </si>
  <si>
    <t>Cód. barras</t>
  </si>
  <si>
    <t>Situação</t>
  </si>
  <si>
    <t>(1) MV  -  CARDAPIO|(1.1) MV | CAFES</t>
  </si>
  <si>
    <t>UND</t>
  </si>
  <si>
    <t>121</t>
  </si>
  <si>
    <t>9000000000122</t>
  </si>
  <si>
    <t>Ativo</t>
  </si>
  <si>
    <t>(1) MV  -  CARDAPIO|(1.1) MV | BOLOS / DOCES</t>
  </si>
  <si>
    <t>130</t>
  </si>
  <si>
    <t>9000000000131</t>
  </si>
  <si>
    <t>(1) MV  -  CARDAPIO|(1.1) MV | PRATOS</t>
  </si>
  <si>
    <t>163</t>
  </si>
  <si>
    <t>9000000000164</t>
  </si>
  <si>
    <t>160</t>
  </si>
  <si>
    <t>9000000000161</t>
  </si>
  <si>
    <t>158</t>
  </si>
  <si>
    <t>9000000000159</t>
  </si>
  <si>
    <t>(1) MV  -  CARDAPIO|(1.1) MV | SANDUICHES</t>
  </si>
  <si>
    <t>139</t>
  </si>
  <si>
    <t>9000000000140</t>
  </si>
  <si>
    <t>(1) MV  -  CARDAPIO|(1.1) MV | PORCOES</t>
  </si>
  <si>
    <t>197</t>
  </si>
  <si>
    <t>9000000000198</t>
  </si>
  <si>
    <t>198</t>
  </si>
  <si>
    <t>9000000000199</t>
  </si>
  <si>
    <t>199</t>
  </si>
  <si>
    <t>9000000000200</t>
  </si>
  <si>
    <t>200</t>
  </si>
  <si>
    <t>9000000000201</t>
  </si>
  <si>
    <t>210</t>
  </si>
  <si>
    <t>9000000000211</t>
  </si>
  <si>
    <t>ACAI MAE TERRA 700ML</t>
  </si>
  <si>
    <t>(1) MV  -  CONVENIENCIA|(1.1) MV | PICOLES / SORVETES</t>
  </si>
  <si>
    <t>619</t>
  </si>
  <si>
    <t>9000000000575</t>
  </si>
  <si>
    <t>620</t>
  </si>
  <si>
    <t>7891150086302</t>
  </si>
  <si>
    <t>AD LEITE INTEGRAL</t>
  </si>
  <si>
    <t>(1) MV  -  CARDAPIO|(1.1) MV | ADICIONAIS</t>
  </si>
  <si>
    <t>270</t>
  </si>
  <si>
    <t>9000000000271</t>
  </si>
  <si>
    <t>AD LEITE ZERO LACTOSE</t>
  </si>
  <si>
    <t>271</t>
  </si>
  <si>
    <t>9000000000272</t>
  </si>
  <si>
    <t>(1) MV  -  CONVENIENCIA|(1.1) MV | BEBIDAS S/ ALCOOL</t>
  </si>
  <si>
    <t>355</t>
  </si>
  <si>
    <t>7898994496090 9000000000356</t>
  </si>
  <si>
    <t>AGUA COCO AJA 300ML</t>
  </si>
  <si>
    <t>354</t>
  </si>
  <si>
    <t>7898994496014 9000000000355</t>
  </si>
  <si>
    <t>AGUA COCO AJA 500ML</t>
  </si>
  <si>
    <t>356</t>
  </si>
  <si>
    <t>7898994496045 9000000000357</t>
  </si>
  <si>
    <t>AGUA COCO KI DELICIA  300ML</t>
  </si>
  <si>
    <t>(1.1) MV  -  BEBIDAS S/ ALCOOL|(1.1) MV | AGUA DE COCO</t>
  </si>
  <si>
    <t>353</t>
  </si>
  <si>
    <t>7898928763021 9000000000354</t>
  </si>
  <si>
    <t>AGUA CRYSTAL C/ GAS 500ML</t>
  </si>
  <si>
    <t>469</t>
  </si>
  <si>
    <t>7894900531008 9000000000544</t>
  </si>
  <si>
    <t>AGUA REFRESQ S/ GAS 1500ML</t>
  </si>
  <si>
    <t>470</t>
  </si>
  <si>
    <t>602883173378 9000000000545</t>
  </si>
  <si>
    <t>AGUA REFRESQ S/ GAS 500ML</t>
  </si>
  <si>
    <t>468</t>
  </si>
  <si>
    <t>742832804363 9000000000543</t>
  </si>
  <si>
    <t>ALPINO 280ML</t>
  </si>
  <si>
    <t>480</t>
  </si>
  <si>
    <t>7891000067048 9000000000555</t>
  </si>
  <si>
    <t>AMENDOIM AMINDUS 150G</t>
  </si>
  <si>
    <t>(1) MV  -  CONVENIENCIA|(1.1) MV | BOMBONIERE</t>
  </si>
  <si>
    <t>535</t>
  </si>
  <si>
    <t>7896336016081</t>
  </si>
  <si>
    <t>AMENDOIM JAPONES DORI 150G</t>
  </si>
  <si>
    <t>768</t>
  </si>
  <si>
    <t>7896058599626 9000000000715</t>
  </si>
  <si>
    <t>AMENDOIM JAPONES DORI 70G</t>
  </si>
  <si>
    <t>534</t>
  </si>
  <si>
    <t>7896058500738</t>
  </si>
  <si>
    <t>AMENDOIM MENDORATOS 60G</t>
  </si>
  <si>
    <t>536</t>
  </si>
  <si>
    <t>7896336000578</t>
  </si>
  <si>
    <t>BALA SABORES</t>
  </si>
  <si>
    <t>626</t>
  </si>
  <si>
    <t>9000000000578</t>
  </si>
  <si>
    <t>BALLY KIDS MORANGO 220ML</t>
  </si>
  <si>
    <t>495</t>
  </si>
  <si>
    <t>7898080665737</t>
  </si>
  <si>
    <t>BARRA 3CORACOES CARAMELO PROT 50G</t>
  </si>
  <si>
    <t>402</t>
  </si>
  <si>
    <t>7896045115709 9000000000403</t>
  </si>
  <si>
    <t>BARRA 3CORACOES CHOCOLATE PROT 50G</t>
  </si>
  <si>
    <t>430</t>
  </si>
  <si>
    <t>7896045115686 9000000000431</t>
  </si>
  <si>
    <t>BARRA 3CORACOES CLASSIC PROT 50G</t>
  </si>
  <si>
    <t>401</t>
  </si>
  <si>
    <t>7896045115471 9000000000402</t>
  </si>
  <si>
    <t>BARRA 3CORACOES COOKIES PROT 50G</t>
  </si>
  <si>
    <t>426</t>
  </si>
  <si>
    <t>7896045115488 9000000000427</t>
  </si>
  <si>
    <t>BARRA DE BANANA SUPINO 24G</t>
  </si>
  <si>
    <t>801</t>
  </si>
  <si>
    <t>7896798603577</t>
  </si>
  <si>
    <t>BARRA HERSHEYS 60 CACAU DARK 85G</t>
  </si>
  <si>
    <t>548</t>
  </si>
  <si>
    <t>7899970400926</t>
  </si>
  <si>
    <t>BARRA HERSHEYS CHOC AO LEITE 82G</t>
  </si>
  <si>
    <t>449</t>
  </si>
  <si>
    <t>7899970402814 9000000000450</t>
  </si>
  <si>
    <t>BARRA HERSHEYS COOKIES CRM 77G</t>
  </si>
  <si>
    <t>445</t>
  </si>
  <si>
    <t>7899970402852 9000000000446</t>
  </si>
  <si>
    <t>BARRA HERSHEYS OVOMALTINE 77GG</t>
  </si>
  <si>
    <t>446</t>
  </si>
  <si>
    <t>7899970402876 9000000000447</t>
  </si>
  <si>
    <t>BARRA NESTLE CHOC AO LEITE 80G</t>
  </si>
  <si>
    <t>450</t>
  </si>
  <si>
    <t>7891000369098 9000000000451</t>
  </si>
  <si>
    <t>BARRA NESTLE MEIO AMARGO 80G</t>
  </si>
  <si>
    <t>448</t>
  </si>
  <si>
    <t>7891000368572 9000000000449</t>
  </si>
  <si>
    <t>BARRA SUPINO BANANA E ACAI 24G</t>
  </si>
  <si>
    <t>885</t>
  </si>
  <si>
    <t>7896798603843</t>
  </si>
  <si>
    <t>BARRA SUPINO PROTEIN CHOCOLATE 30G</t>
  </si>
  <si>
    <t>882</t>
  </si>
  <si>
    <t>7896798601825 7896798601832</t>
  </si>
  <si>
    <t>BARULHINHO BANANA 50G</t>
  </si>
  <si>
    <t>524</t>
  </si>
  <si>
    <t>742832241465</t>
  </si>
  <si>
    <t>BARULHINHO BATATA DOCE 50G</t>
  </si>
  <si>
    <t>523</t>
  </si>
  <si>
    <t>742832241441</t>
  </si>
  <si>
    <t>BATATA LAYS CLASSICA 62G</t>
  </si>
  <si>
    <t>515</t>
  </si>
  <si>
    <t>7892840825133</t>
  </si>
  <si>
    <t>BATATA LAYS PICANHA 62G</t>
  </si>
  <si>
    <t>517</t>
  </si>
  <si>
    <t>7892840824884</t>
  </si>
  <si>
    <t>BATATA LAYS QUEIJO 62G</t>
  </si>
  <si>
    <t>514</t>
  </si>
  <si>
    <t>7892840824907</t>
  </si>
  <si>
    <t>BATATA LAYS SOUR CREAM 30G</t>
  </si>
  <si>
    <t>516</t>
  </si>
  <si>
    <t>7892840825188</t>
  </si>
  <si>
    <t>BATATA LAYS TACO MEX 62G</t>
  </si>
  <si>
    <t>518</t>
  </si>
  <si>
    <t>7892840824891</t>
  </si>
  <si>
    <t>BATATA PRINGLES CHEDDAR/BACON 105G</t>
  </si>
  <si>
    <t>521</t>
  </si>
  <si>
    <t>7896004008998</t>
  </si>
  <si>
    <t>BATATA PRINGLES QUEIJO 105G</t>
  </si>
  <si>
    <t>522</t>
  </si>
  <si>
    <t>7896004006284</t>
  </si>
  <si>
    <t>BATATA RUFFLES 32G</t>
  </si>
  <si>
    <t>509</t>
  </si>
  <si>
    <t>7892840824631</t>
  </si>
  <si>
    <t>BATATA RUFFLES CEBOLA 68G</t>
  </si>
  <si>
    <t>396</t>
  </si>
  <si>
    <t>7892840823030 9000000000397</t>
  </si>
  <si>
    <t>BATATA RUFFLES CHURR 32G</t>
  </si>
  <si>
    <t>510</t>
  </si>
  <si>
    <t>7892840824655</t>
  </si>
  <si>
    <t>BATATA RUFFLES CHURR 68G</t>
  </si>
  <si>
    <t>397</t>
  </si>
  <si>
    <t>7892840823047 9000000000398</t>
  </si>
  <si>
    <t>BATATA RUFFLES TRAD 68G</t>
  </si>
  <si>
    <t>395</t>
  </si>
  <si>
    <t>7892840823054 9000000000396</t>
  </si>
  <si>
    <t>BATATA SENSACOES FRANGO 35G</t>
  </si>
  <si>
    <t>520</t>
  </si>
  <si>
    <t>7892840825171</t>
  </si>
  <si>
    <t>BATATA SENSACOES PEITO PERU 35G</t>
  </si>
  <si>
    <t>519</t>
  </si>
  <si>
    <t>7892840825218</t>
  </si>
  <si>
    <t>BATERIA DURACELL 9V1</t>
  </si>
  <si>
    <t>(1) MV  -  CONVENIENCIA|(1.1) MV | CABOS, PILHAS E DIVERSOS</t>
  </si>
  <si>
    <t>736</t>
  </si>
  <si>
    <t>041333001043 9000000000687</t>
  </si>
  <si>
    <t>BEBIDA LACTEA 3CORACOES CAPPUCCINO PROT 260ML</t>
  </si>
  <si>
    <t>478</t>
  </si>
  <si>
    <t>7896045114931 9000000000553</t>
  </si>
  <si>
    <t>BEBIDA LACTEA 3CORACOES CAPPUCCINO ZERO 260ML</t>
  </si>
  <si>
    <t>727</t>
  </si>
  <si>
    <t>7896005809495 9000000000676</t>
  </si>
  <si>
    <t>BEBIDA LACTEA 3CORACOES CARAMELO 260ML</t>
  </si>
  <si>
    <t>846</t>
  </si>
  <si>
    <t>7896045113675 9000000000758</t>
  </si>
  <si>
    <t>BEBIDA LACTEA 3CORACOES CHOCOLATE 260ML</t>
  </si>
  <si>
    <t>479</t>
  </si>
  <si>
    <t>7896005809501 9000000000554</t>
  </si>
  <si>
    <t>BEBIDA LACTEA 3CORACOES CLASSIC 260ML</t>
  </si>
  <si>
    <t>726</t>
  </si>
  <si>
    <t>7896005809518 9000000000675</t>
  </si>
  <si>
    <t>BEBIDA LACTEA 3CORACOES COOKIES 260ML</t>
  </si>
  <si>
    <t>475</t>
  </si>
  <si>
    <t>7896045113668 9000000000550</t>
  </si>
  <si>
    <t>BEBIDA LACTEA 3CORACOES PINGADO 260ML</t>
  </si>
  <si>
    <t>474</t>
  </si>
  <si>
    <t>7896045104482 9000000000549</t>
  </si>
  <si>
    <t>BEBIDA LACTEA 3CORACOES POWER PROT 260ML</t>
  </si>
  <si>
    <t>477</t>
  </si>
  <si>
    <t>7896045104499 9000000000552</t>
  </si>
  <si>
    <t>BEM CASADO</t>
  </si>
  <si>
    <t>111</t>
  </si>
  <si>
    <t>9000000000112</t>
  </si>
  <si>
    <t>BIS BLACK 100 8G</t>
  </si>
  <si>
    <t>552</t>
  </si>
  <si>
    <t>7622210833389</t>
  </si>
  <si>
    <t>BIS BRANCO 100 8G</t>
  </si>
  <si>
    <t>553</t>
  </si>
  <si>
    <t>7622210575999</t>
  </si>
  <si>
    <t>BIS OREO 100 8G</t>
  </si>
  <si>
    <t>554</t>
  </si>
  <si>
    <t>7622300989316</t>
  </si>
  <si>
    <t>BISC BONO MORANGO 90G</t>
  </si>
  <si>
    <t>530</t>
  </si>
  <si>
    <t>7891000376959</t>
  </si>
  <si>
    <t>BISC NEGRESCO TRAD 90G</t>
  </si>
  <si>
    <t>525</t>
  </si>
  <si>
    <t>7891000376768</t>
  </si>
  <si>
    <t>BISC NESFIT CACAU 160G</t>
  </si>
  <si>
    <t>541</t>
  </si>
  <si>
    <t>7891000304556</t>
  </si>
  <si>
    <t>BISC NESTLE CHOCOLATE 140G</t>
  </si>
  <si>
    <t>540</t>
  </si>
  <si>
    <t>7891000089194</t>
  </si>
  <si>
    <t>BISC NESTLE COOKIES GOTAS 60G</t>
  </si>
  <si>
    <t>542</t>
  </si>
  <si>
    <t>7891000247648</t>
  </si>
  <si>
    <t>BISC OREO CHOCOLATE 90G</t>
  </si>
  <si>
    <t>527</t>
  </si>
  <si>
    <t>7622300873554</t>
  </si>
  <si>
    <t>BISC OREO MORANGO 90G</t>
  </si>
  <si>
    <t>528</t>
  </si>
  <si>
    <t>7622300989408</t>
  </si>
  <si>
    <t>BISC OREO TRAD 90G</t>
  </si>
  <si>
    <t>526</t>
  </si>
  <si>
    <t>7622300830151</t>
  </si>
  <si>
    <t>BISC PASSATEMPO CHOCOLATE 13G</t>
  </si>
  <si>
    <t>544</t>
  </si>
  <si>
    <t>7891000241356</t>
  </si>
  <si>
    <t>BISC PASSATEMPO LEITE 150G</t>
  </si>
  <si>
    <t>543</t>
  </si>
  <si>
    <t>7891000051436</t>
  </si>
  <si>
    <t>BISC TRELOSO BEM CASADO 120G</t>
  </si>
  <si>
    <t>538</t>
  </si>
  <si>
    <t>7896213005900</t>
  </si>
  <si>
    <t>BISC TRELOSO CHOCOLATE 120G</t>
  </si>
  <si>
    <t>539</t>
  </si>
  <si>
    <t>7896213005924</t>
  </si>
  <si>
    <t>BISC TRELOSO MORANGO 120G</t>
  </si>
  <si>
    <t>537</t>
  </si>
  <si>
    <t>7896213005955</t>
  </si>
  <si>
    <t>BOB EXTRA 10KG (40X60)</t>
  </si>
  <si>
    <t>(3) MT  -  MATERIAIS|(3.1) MT | MATERIAIS USO / CONSUMO</t>
  </si>
  <si>
    <t>KG</t>
  </si>
  <si>
    <t>827</t>
  </si>
  <si>
    <t>7898959137150</t>
  </si>
  <si>
    <t>BOB EXTRA 2KG (20X30)</t>
  </si>
  <si>
    <t>826</t>
  </si>
  <si>
    <t>7898959137112</t>
  </si>
  <si>
    <t>BOLO DE CENOURA CASEIRO</t>
  </si>
  <si>
    <t>112</t>
  </si>
  <si>
    <t>9000000000113</t>
  </si>
  <si>
    <t>BOLO DE LARANJA CASEIRO</t>
  </si>
  <si>
    <t>113</t>
  </si>
  <si>
    <t>9000000000114</t>
  </si>
  <si>
    <t>BOLO DE ROLO 60G</t>
  </si>
  <si>
    <t>795</t>
  </si>
  <si>
    <t>2000000000024 7898952532051</t>
  </si>
  <si>
    <t>BOLO PRESTIGIO</t>
  </si>
  <si>
    <t>114</t>
  </si>
  <si>
    <t>9000000000115</t>
  </si>
  <si>
    <t>BOLO TRADICIONAL</t>
  </si>
  <si>
    <t>116</t>
  </si>
  <si>
    <t>9000000000117</t>
  </si>
  <si>
    <t>BOMBOM FERRERO ROCHER CHOCOLATE 37,5G</t>
  </si>
  <si>
    <t>432</t>
  </si>
  <si>
    <t>78909434 9000000000433</t>
  </si>
  <si>
    <t>BRIGADEIRO CASEIRO</t>
  </si>
  <si>
    <t>117</t>
  </si>
  <si>
    <t>9000000000118</t>
  </si>
  <si>
    <t>BRIGADEIRO DE AMENDOIN</t>
  </si>
  <si>
    <t>118</t>
  </si>
  <si>
    <t>9000000000119</t>
  </si>
  <si>
    <t>BRIGADEIRO DE CHURROS</t>
  </si>
  <si>
    <t>131</t>
  </si>
  <si>
    <t>9000000000132</t>
  </si>
  <si>
    <t>BROWNIE ARTESANAL MEUS DOCES 100G</t>
  </si>
  <si>
    <t>662</t>
  </si>
  <si>
    <t>798312120824 9000000000609</t>
  </si>
  <si>
    <t>BSIC BONO CHOCOLATE 90G</t>
  </si>
  <si>
    <t>529</t>
  </si>
  <si>
    <t>7891000376843</t>
  </si>
  <si>
    <t>CABO PARA IPHONE</t>
  </si>
  <si>
    <t>737</t>
  </si>
  <si>
    <t>7898660991720 9000000000688</t>
  </si>
  <si>
    <t>CABO PARA IPHONE TIPO C</t>
  </si>
  <si>
    <t>738</t>
  </si>
  <si>
    <t>7898660991959 9000000000689</t>
  </si>
  <si>
    <t>739</t>
  </si>
  <si>
    <t>7898660990457 9000000000690</t>
  </si>
  <si>
    <t>CABO TYPE C</t>
  </si>
  <si>
    <t>740</t>
  </si>
  <si>
    <t>9000000000691</t>
  </si>
  <si>
    <t>CABO V8</t>
  </si>
  <si>
    <t>741</t>
  </si>
  <si>
    <t>7897378403617 9000000000692</t>
  </si>
  <si>
    <t>CAFE EXPRESSO CURTO</t>
  </si>
  <si>
    <t>122</t>
  </si>
  <si>
    <t>9000000000123</t>
  </si>
  <si>
    <t>CAFE EXPRESSO GRANDE</t>
  </si>
  <si>
    <t>123</t>
  </si>
  <si>
    <t>9000000000124</t>
  </si>
  <si>
    <t>CAFE EXPRESSO GRANDE C/LEITE</t>
  </si>
  <si>
    <t>124</t>
  </si>
  <si>
    <t>9000000000125</t>
  </si>
  <si>
    <t>CAFE EXPRESSO PEQUENO</t>
  </si>
  <si>
    <t>125</t>
  </si>
  <si>
    <t>9000000000126</t>
  </si>
  <si>
    <t>CAFE EXPRESSO PEQUENO C/ LEITE</t>
  </si>
  <si>
    <t>126</t>
  </si>
  <si>
    <t>9000000000127</t>
  </si>
  <si>
    <t>CAIXA CHOC GAROTO 220G</t>
  </si>
  <si>
    <t>531</t>
  </si>
  <si>
    <t>7891000457092</t>
  </si>
  <si>
    <t>CAIXA CHOC LACTA 250 6G</t>
  </si>
  <si>
    <t>533</t>
  </si>
  <si>
    <t>7622210596413</t>
  </si>
  <si>
    <t>CAIXA CHOC NESTLE 251G</t>
  </si>
  <si>
    <t>532</t>
  </si>
  <si>
    <t>7891000325131</t>
  </si>
  <si>
    <t>CAMARAO PROCESSADO</t>
  </si>
  <si>
    <t>(9) PP  -  PRODUTOS PRODUZIDOS|(9.1) PM | PRODUTOS MANIPULADOS (TRANSFORMADOS)</t>
  </si>
  <si>
    <t>132</t>
  </si>
  <si>
    <t>9000000000133</t>
  </si>
  <si>
    <t>CAPPUCCINO GRANDE</t>
  </si>
  <si>
    <t>127</t>
  </si>
  <si>
    <t>9000000000128</t>
  </si>
  <si>
    <t>CAPPUCCINO PEQUENO</t>
  </si>
  <si>
    <t>128</t>
  </si>
  <si>
    <t>9000000000129</t>
  </si>
  <si>
    <t>CAPPUCCINO POWER 3CORACOES BAUNILHA 250ML</t>
  </si>
  <si>
    <t>860</t>
  </si>
  <si>
    <t>7896045115884 9000000000765</t>
  </si>
  <si>
    <t>CAPPUCCINO POWER 3CORACOES CHOCOLATE 250ML</t>
  </si>
  <si>
    <t>868</t>
  </si>
  <si>
    <t>7896045110667 9000000000773</t>
  </si>
  <si>
    <t>907</t>
  </si>
  <si>
    <t>7896045110407 9000000000778</t>
  </si>
  <si>
    <t>CAPPUCCINO POWER 3CORACOES COOKIES 250ML</t>
  </si>
  <si>
    <t>861</t>
  </si>
  <si>
    <t>7896045110629 9000000000766</t>
  </si>
  <si>
    <t>CAPPUCCINO POWER 3CORACOES DOCE DE LEITE 250ML</t>
  </si>
  <si>
    <t>858</t>
  </si>
  <si>
    <t>7896045110636</t>
  </si>
  <si>
    <t>CAPPUCCINO POWER 3CORACOES NAPOLITANO 250ML</t>
  </si>
  <si>
    <t>859</t>
  </si>
  <si>
    <t>7896045115877 9000000000764</t>
  </si>
  <si>
    <t>CARREGADOR PORTATIL 10 000 MAH</t>
  </si>
  <si>
    <t>742</t>
  </si>
  <si>
    <t>9000000000693</t>
  </si>
  <si>
    <t>CARREGADOR PORTATIL 6000 MAH</t>
  </si>
  <si>
    <t>743</t>
  </si>
  <si>
    <t>9000000000694</t>
  </si>
  <si>
    <t>CARREGADOR VEICULAR</t>
  </si>
  <si>
    <t>744</t>
  </si>
  <si>
    <t>9000000000695</t>
  </si>
  <si>
    <t>CARREGADOR VEICULAR USB-C</t>
  </si>
  <si>
    <t>745</t>
  </si>
  <si>
    <t>7896904631708 9000000000696</t>
  </si>
  <si>
    <t>CASTANHA DE CAJU C/ SAL 100G</t>
  </si>
  <si>
    <t>769</t>
  </si>
  <si>
    <t>9000000000716</t>
  </si>
  <si>
    <t>CASTANHA S/SAL 100G</t>
  </si>
  <si>
    <t>424</t>
  </si>
  <si>
    <t>9000000000425</t>
  </si>
  <si>
    <t>CASTANHA SR NUTS 100G</t>
  </si>
  <si>
    <t>425</t>
  </si>
  <si>
    <t>9000000000426</t>
  </si>
  <si>
    <t>CEBOLITOS 36G</t>
  </si>
  <si>
    <t>508</t>
  </si>
  <si>
    <t>7892840824808</t>
  </si>
  <si>
    <t>CEBOLITOS 91G</t>
  </si>
  <si>
    <t>497</t>
  </si>
  <si>
    <t>7892840822804</t>
  </si>
  <si>
    <t>CERV AMSTEL LONG 275ML</t>
  </si>
  <si>
    <t>(1) MV  -  CONVENIENCIA|(1.1) MV | BEBIDAS C/ ALCOOL</t>
  </si>
  <si>
    <t>275</t>
  </si>
  <si>
    <t>18960457</t>
  </si>
  <si>
    <t>CERV AMSTEL LT 350ML</t>
  </si>
  <si>
    <t>285</t>
  </si>
  <si>
    <t>7896045506934 9000000000286</t>
  </si>
  <si>
    <t>CERV AMSTEL LT 473ML</t>
  </si>
  <si>
    <t>297</t>
  </si>
  <si>
    <t>7896045505340 9000000000298</t>
  </si>
  <si>
    <t>CERV AMSTEL ULTRA 275ML</t>
  </si>
  <si>
    <t>618</t>
  </si>
  <si>
    <t>7896045506439 9000000000574</t>
  </si>
  <si>
    <t>CERV BADEN CRISTAL LT 350ML</t>
  </si>
  <si>
    <t>305</t>
  </si>
  <si>
    <t>7898230716616 9000000000306</t>
  </si>
  <si>
    <t>CERV BOHEMIA LT 350ML</t>
  </si>
  <si>
    <t>840</t>
  </si>
  <si>
    <t>7891991006125</t>
  </si>
  <si>
    <t>CERV BOHEMIA LT 473ML</t>
  </si>
  <si>
    <t>290</t>
  </si>
  <si>
    <t>7891991014236 9000000000291</t>
  </si>
  <si>
    <t>CERV BRAHMA 473ML</t>
  </si>
  <si>
    <t>291</t>
  </si>
  <si>
    <t>7891149011001 9000000000292</t>
  </si>
  <si>
    <t>CERV BRAHMA ZERO LT 350ML</t>
  </si>
  <si>
    <t>280</t>
  </si>
  <si>
    <t>7891149104932</t>
  </si>
  <si>
    <t>CERV BUDWEISER LONG 330ML</t>
  </si>
  <si>
    <t>302</t>
  </si>
  <si>
    <t>7891991014762 9000000000303</t>
  </si>
  <si>
    <t>CERV BUDWEISER LT 350ML</t>
  </si>
  <si>
    <t>288</t>
  </si>
  <si>
    <t>7891991010481 9000000000289</t>
  </si>
  <si>
    <t>CERV BUDWEISER LT 473ML</t>
  </si>
  <si>
    <t>296</t>
  </si>
  <si>
    <t>7891991011723 9000000000297</t>
  </si>
  <si>
    <t>CERV CORONA EXTRA LONG 330ML</t>
  </si>
  <si>
    <t>814</t>
  </si>
  <si>
    <t>7891149108732</t>
  </si>
  <si>
    <t>CERV CORONA LONG 330ML</t>
  </si>
  <si>
    <t>458</t>
  </si>
  <si>
    <t>7891149108718 7891991304207 9000000000497</t>
  </si>
  <si>
    <t>CERV CORONA LT 350ML</t>
  </si>
  <si>
    <t>308</t>
  </si>
  <si>
    <t>7891991295055 9000000000309</t>
  </si>
  <si>
    <t>CERV CORONA ZERO LONG 330ML</t>
  </si>
  <si>
    <t>301</t>
  </si>
  <si>
    <t>7891991304184 9000000000302</t>
  </si>
  <si>
    <t>CERV DEVASSA LONG 300ML</t>
  </si>
  <si>
    <t>306</t>
  </si>
  <si>
    <t>7898904771743 9000000000307</t>
  </si>
  <si>
    <t>CERV DEVASSA LT 350ML</t>
  </si>
  <si>
    <t>286</t>
  </si>
  <si>
    <t>7898904771606 9000000000287</t>
  </si>
  <si>
    <t>CERV DEVASSA LT 473ML</t>
  </si>
  <si>
    <t>293</t>
  </si>
  <si>
    <t>7898904771729 9000000000294</t>
  </si>
  <si>
    <t>CERV EISENBAHN LONG 355ML</t>
  </si>
  <si>
    <t>300</t>
  </si>
  <si>
    <t>7898367980010 9000000000301</t>
  </si>
  <si>
    <t>CERV EISENBAHN LT 350ML</t>
  </si>
  <si>
    <t>304</t>
  </si>
  <si>
    <t>7898367983790 9000000000305</t>
  </si>
  <si>
    <t>CERV HEINEKEN 600ML</t>
  </si>
  <si>
    <t>733</t>
  </si>
  <si>
    <t>9000000000682</t>
  </si>
  <si>
    <t>276</t>
  </si>
  <si>
    <t>7896045506873</t>
  </si>
  <si>
    <t>CERV HEINEKEN LONG 330ML</t>
  </si>
  <si>
    <t>273</t>
  </si>
  <si>
    <t>78936683 9000000000274</t>
  </si>
  <si>
    <t>CERV HEINEKEN ZERO LATA 350ML</t>
  </si>
  <si>
    <t>277</t>
  </si>
  <si>
    <t>7896045506910</t>
  </si>
  <si>
    <t>CERV HEINEKEN ZERO LONG 330ML</t>
  </si>
  <si>
    <t>274</t>
  </si>
  <si>
    <t>7896045506040</t>
  </si>
  <si>
    <t>CERV HEINKEN 600ML</t>
  </si>
  <si>
    <t>272</t>
  </si>
  <si>
    <t>78905498</t>
  </si>
  <si>
    <t>CERV ITAIPAVA LATA 350ML</t>
  </si>
  <si>
    <t>279</t>
  </si>
  <si>
    <t>7897395020101</t>
  </si>
  <si>
    <t>CERV ITAIPAVA LATA 473ML</t>
  </si>
  <si>
    <t>278</t>
  </si>
  <si>
    <t>7897395020217</t>
  </si>
  <si>
    <t>CERV PETRA LT 350ML</t>
  </si>
  <si>
    <t>281</t>
  </si>
  <si>
    <t>7897395099329</t>
  </si>
  <si>
    <t>CERV PETRA LT 473ML</t>
  </si>
  <si>
    <t>292</t>
  </si>
  <si>
    <t>7897395099695 9000000000293</t>
  </si>
  <si>
    <t>CERV PETRA PREMIUM LT 350ML</t>
  </si>
  <si>
    <t>298</t>
  </si>
  <si>
    <t>7897395020644 9000000000299</t>
  </si>
  <si>
    <t>CERV SCHIN 473ML</t>
  </si>
  <si>
    <t>282</t>
  </si>
  <si>
    <t>7896052605316</t>
  </si>
  <si>
    <t>CERV SKOL BEATS GT 269ML</t>
  </si>
  <si>
    <t>855</t>
  </si>
  <si>
    <t>9000000000761</t>
  </si>
  <si>
    <t>CERV SKOL BEATS GT LT 350ML</t>
  </si>
  <si>
    <t>289</t>
  </si>
  <si>
    <t>2828249840878 9000000000290</t>
  </si>
  <si>
    <t>CERV SKOL BEATS RED LT 269ML</t>
  </si>
  <si>
    <t>284</t>
  </si>
  <si>
    <t>7891991307185 9000000000285</t>
  </si>
  <si>
    <t>CERV SKOL BEATS SENSES LT 269ML</t>
  </si>
  <si>
    <t>287</t>
  </si>
  <si>
    <t>7891149105564 9000000000288</t>
  </si>
  <si>
    <t>CERV SKOL LT 350ML</t>
  </si>
  <si>
    <t>299</t>
  </si>
  <si>
    <t>7891149100002 7891149200504 9000000000300</t>
  </si>
  <si>
    <t>CERV SKOL LT 473ML</t>
  </si>
  <si>
    <t>294</t>
  </si>
  <si>
    <t>27891149201006</t>
  </si>
  <si>
    <t>CERV SPATEN LT 350ML</t>
  </si>
  <si>
    <t>283</t>
  </si>
  <si>
    <t>7891991297424 9000000000284</t>
  </si>
  <si>
    <t>CERV SPATEN LT 473ML</t>
  </si>
  <si>
    <t>295</t>
  </si>
  <si>
    <t>7891991303200 9000000000296</t>
  </si>
  <si>
    <t>CERV STELLA GOLD LONG 330ML</t>
  </si>
  <si>
    <t>303</t>
  </si>
  <si>
    <t>7891991304870 7891991304894 9000000000304</t>
  </si>
  <si>
    <t>CERV STELLA LONG 330ML</t>
  </si>
  <si>
    <t>307</t>
  </si>
  <si>
    <t>7891991015462 7891991015486 9000000000308</t>
  </si>
  <si>
    <t>CHEETOS ONDA REQUEIJAO 39G</t>
  </si>
  <si>
    <t>(1) MV  -  CONVENIENCIA</t>
  </si>
  <si>
    <t>512</t>
  </si>
  <si>
    <t>7892840824747</t>
  </si>
  <si>
    <t>CHEETOS QUEIJO BOLA 34G</t>
  </si>
  <si>
    <t>507</t>
  </si>
  <si>
    <t>7892840824945</t>
  </si>
  <si>
    <t>CHIC TRIDENT 14UN BLUEBERRY 25,2G</t>
  </si>
  <si>
    <t>849</t>
  </si>
  <si>
    <t>7622210573476</t>
  </si>
  <si>
    <t>CHIC TRIDENT 14UN TUTTI FRUTTI 25,2G</t>
  </si>
  <si>
    <t>850</t>
  </si>
  <si>
    <t>7622210573445</t>
  </si>
  <si>
    <t>CHIC TRIDENT ACID BERRY 48G</t>
  </si>
  <si>
    <t>429</t>
  </si>
  <si>
    <t>7622202281488</t>
  </si>
  <si>
    <t>CHIC TRIDENT ACID BLUBERRY 8G</t>
  </si>
  <si>
    <t>605</t>
  </si>
  <si>
    <t>7622210564276</t>
  </si>
  <si>
    <t>591</t>
  </si>
  <si>
    <t>7622210573483</t>
  </si>
  <si>
    <t>CHIC TRIDENT CANELA 8G</t>
  </si>
  <si>
    <t>598</t>
  </si>
  <si>
    <t>7895800304235</t>
  </si>
  <si>
    <t>CHIC TRIDENT CITRUS 48G</t>
  </si>
  <si>
    <t>428</t>
  </si>
  <si>
    <t>7622202309090</t>
  </si>
  <si>
    <t>CHIC TRIDENT GARRAFA CITRUS 54G</t>
  </si>
  <si>
    <t>848</t>
  </si>
  <si>
    <t>7622202281464</t>
  </si>
  <si>
    <t>CHIC TRIDENT HERBAL 8G</t>
  </si>
  <si>
    <t>602</t>
  </si>
  <si>
    <t>7622210564313</t>
  </si>
  <si>
    <t>CHIC TRIDENT HORTELA 8G</t>
  </si>
  <si>
    <t>595</t>
  </si>
  <si>
    <t>7895800304211 7895800400159</t>
  </si>
  <si>
    <t>CHIC TRIDENT HORTELA FRESC 16 5G</t>
  </si>
  <si>
    <t>608</t>
  </si>
  <si>
    <t>7622210563538</t>
  </si>
  <si>
    <t>CHIC TRIDENT MELANCIA 14UN</t>
  </si>
  <si>
    <t>592</t>
  </si>
  <si>
    <t>7622300847753</t>
  </si>
  <si>
    <t>CHIC TRIDENT MELANCIA 8G</t>
  </si>
  <si>
    <t>599</t>
  </si>
  <si>
    <t>7895800309780 7895800400227</t>
  </si>
  <si>
    <t>CHIC TRIDENT MENTA 14UN</t>
  </si>
  <si>
    <t>593</t>
  </si>
  <si>
    <t>7622300847791 7622300847807</t>
  </si>
  <si>
    <t>CHIC TRIDENT MENTA 8G</t>
  </si>
  <si>
    <t>597</t>
  </si>
  <si>
    <t>7895800304228 7895800400142</t>
  </si>
  <si>
    <t>CHIC TRIDENT MENTA BLUEBERRY 16 5G</t>
  </si>
  <si>
    <t>607</t>
  </si>
  <si>
    <t>7622210563477</t>
  </si>
  <si>
    <t>CHIC TRIDENT MORANGO 8G</t>
  </si>
  <si>
    <t>601</t>
  </si>
  <si>
    <t>7895800201503</t>
  </si>
  <si>
    <t>CHIC TRIDENT RASPERRY 16 5G</t>
  </si>
  <si>
    <t>606</t>
  </si>
  <si>
    <t>7622210528940 9000000000570</t>
  </si>
  <si>
    <t>590</t>
  </si>
  <si>
    <t>7622210573452 9000000000569</t>
  </si>
  <si>
    <t>CHIC TRIDENT TUTTI FRUT 8G</t>
  </si>
  <si>
    <t>603</t>
  </si>
  <si>
    <t>7895800430002</t>
  </si>
  <si>
    <t>594</t>
  </si>
  <si>
    <t>7622210696922</t>
  </si>
  <si>
    <t>CHIC TRIDENT X SENSES 8G</t>
  </si>
  <si>
    <t>596</t>
  </si>
  <si>
    <t>7622210564290</t>
  </si>
  <si>
    <t>600</t>
  </si>
  <si>
    <t>7622210564337</t>
  </si>
  <si>
    <t>CHOC BARRA GALAK BRC 80G</t>
  </si>
  <si>
    <t>545</t>
  </si>
  <si>
    <t>7891000368626</t>
  </si>
  <si>
    <t>CHOC BARRA GAROTO AO LEITE 80G</t>
  </si>
  <si>
    <t>549</t>
  </si>
  <si>
    <t>7891008123975</t>
  </si>
  <si>
    <t>CHOC BARRA GAROTO CROCANTE 80G</t>
  </si>
  <si>
    <t>551</t>
  </si>
  <si>
    <t>7891008124071</t>
  </si>
  <si>
    <t>CHOC BARRA GAROTO NEGRESCO 80G</t>
  </si>
  <si>
    <t>550</t>
  </si>
  <si>
    <t>7891008124477</t>
  </si>
  <si>
    <t>CHOC BARRA LACTA  DIAMANTE NEGRO C/ BRANCO 80G</t>
  </si>
  <si>
    <t>447</t>
  </si>
  <si>
    <t>7622210575630 9000000000448</t>
  </si>
  <si>
    <t>CHOC BARRA LACTA 40 CACAU 80G</t>
  </si>
  <si>
    <t>546</t>
  </si>
  <si>
    <t>7622210674432</t>
  </si>
  <si>
    <t>CHOC BARRA LACTA BRANCO 80G</t>
  </si>
  <si>
    <t>442</t>
  </si>
  <si>
    <t>7622210674319 9000000000443</t>
  </si>
  <si>
    <t>CHOC BARRA LACTA CHOCOLATE LEITE 80G</t>
  </si>
  <si>
    <t>440</t>
  </si>
  <si>
    <t>7622210673831 9000000000441</t>
  </si>
  <si>
    <t>CHOC BARRA LACTA DIAMANTE NG 80G</t>
  </si>
  <si>
    <t>438</t>
  </si>
  <si>
    <t>7622210674050 9000000000439</t>
  </si>
  <si>
    <t>CHOC BARRA LACTA OREO 90G</t>
  </si>
  <si>
    <t>443</t>
  </si>
  <si>
    <t>7622210567567 9000000000444</t>
  </si>
  <si>
    <t>CHOC BARRA LACTA OREO C/ CHOC BRC 80G</t>
  </si>
  <si>
    <t>444</t>
  </si>
  <si>
    <t>7622210674357 9000000000445</t>
  </si>
  <si>
    <t>CHOC BARRA LACTA SHOT 80G</t>
  </si>
  <si>
    <t>437</t>
  </si>
  <si>
    <t>7622210674395 9000000000438</t>
  </si>
  <si>
    <t>CHOC BARRA LACTA SONHO VALSA 98G</t>
  </si>
  <si>
    <t>441</t>
  </si>
  <si>
    <t>7622210528186 9000000000442</t>
  </si>
  <si>
    <t>CHOC BARRA NESTLE ALPINO 80G</t>
  </si>
  <si>
    <t>451</t>
  </si>
  <si>
    <t>7891000410707 9000000000452</t>
  </si>
  <si>
    <t>CHOC BARRA OURO BRANCO LACTA 98G</t>
  </si>
  <si>
    <t>439</t>
  </si>
  <si>
    <t>7622210528216 9000000000440</t>
  </si>
  <si>
    <t>CHOC BATOM GAROTO BRANCO 16G</t>
  </si>
  <si>
    <t>589</t>
  </si>
  <si>
    <t>78912366</t>
  </si>
  <si>
    <t>CHOC BATOM GAROTO PRETO 16G</t>
  </si>
  <si>
    <t>803</t>
  </si>
  <si>
    <t>78912359 9000000000740</t>
  </si>
  <si>
    <t>CHOC BIS XTRA BLACK 45G</t>
  </si>
  <si>
    <t>564</t>
  </si>
  <si>
    <t>7622210566409</t>
  </si>
  <si>
    <t>CHOC BIS XTRA BRANCO 45G</t>
  </si>
  <si>
    <t>563</t>
  </si>
  <si>
    <t>7622210534576</t>
  </si>
  <si>
    <t>CHOC BIS XTRA OREO 45G</t>
  </si>
  <si>
    <t>566</t>
  </si>
  <si>
    <t>7622300988517</t>
  </si>
  <si>
    <t>CHOC BIS XTRA TRAD 45G</t>
  </si>
  <si>
    <t>565</t>
  </si>
  <si>
    <t>7622300988470</t>
  </si>
  <si>
    <t>CHOC CHOKITO 32G</t>
  </si>
  <si>
    <t>371</t>
  </si>
  <si>
    <t>9000000000372</t>
  </si>
  <si>
    <t>CHOC CROCANTE OURO BRANCO 25G</t>
  </si>
  <si>
    <t>569</t>
  </si>
  <si>
    <t>7622210570116</t>
  </si>
  <si>
    <t>CHOC CROCANTE SONHO DE VALSA 25G</t>
  </si>
  <si>
    <t>575</t>
  </si>
  <si>
    <t>7622210570086</t>
  </si>
  <si>
    <t>CHOC CRUNCH 80G</t>
  </si>
  <si>
    <t>436</t>
  </si>
  <si>
    <t>7891000369371 9000000000437</t>
  </si>
  <si>
    <t>CHOC ESTAR 40G</t>
  </si>
  <si>
    <t>373</t>
  </si>
  <si>
    <t>7622210411501 9000000000374</t>
  </si>
  <si>
    <t>CHOC GAROTO CARIBE 28G</t>
  </si>
  <si>
    <t>372</t>
  </si>
  <si>
    <t>7891008121193 9000000000373</t>
  </si>
  <si>
    <t>CHOC GAROTO CHOKITO 32G</t>
  </si>
  <si>
    <t>570</t>
  </si>
  <si>
    <t>7891000462300</t>
  </si>
  <si>
    <t>CHOC GAROTO CROCANTE 25G</t>
  </si>
  <si>
    <t>376</t>
  </si>
  <si>
    <t>7891008124583 9000000000377</t>
  </si>
  <si>
    <t>CHOC KINDER JOY 20G</t>
  </si>
  <si>
    <t>400</t>
  </si>
  <si>
    <t>78940741 9000000000401</t>
  </si>
  <si>
    <t>CHOC KIT KAT BRANCO  41 5G</t>
  </si>
  <si>
    <t>456</t>
  </si>
  <si>
    <t>7891000249239 9000000000462</t>
  </si>
  <si>
    <t>CHOC KIT KAT TRAD 41 5G</t>
  </si>
  <si>
    <t>457</t>
  </si>
  <si>
    <t>7891000248768</t>
  </si>
  <si>
    <t>CHOC LACTA AO LEITE 20G</t>
  </si>
  <si>
    <t>767</t>
  </si>
  <si>
    <t>7622300862367 9000000000714</t>
  </si>
  <si>
    <t>CHOC LACTA BRANCO 20G</t>
  </si>
  <si>
    <t>765</t>
  </si>
  <si>
    <t>7622300862442 9000000000712</t>
  </si>
  <si>
    <t>CHOC LACTA BRANCO 28G</t>
  </si>
  <si>
    <t>586</t>
  </si>
  <si>
    <t>7622202256721</t>
  </si>
  <si>
    <t>CHOC LACTA DIAMANTE NEGRO 20G</t>
  </si>
  <si>
    <t>766</t>
  </si>
  <si>
    <t>7622300862282 9000000000713</t>
  </si>
  <si>
    <t>CHOC LACTA DIAMANTE NG 28G</t>
  </si>
  <si>
    <t>585</t>
  </si>
  <si>
    <t>7622202256691</t>
  </si>
  <si>
    <t>CHOC NESTLE AO LEITE DIET 25G</t>
  </si>
  <si>
    <t>568</t>
  </si>
  <si>
    <t>7891000098844</t>
  </si>
  <si>
    <t>CHOC NESTLE CHARGE 40G</t>
  </si>
  <si>
    <t>370</t>
  </si>
  <si>
    <t>7891000464908 9000000000371</t>
  </si>
  <si>
    <t>CHOC NESTLE LOLLO 28</t>
  </si>
  <si>
    <t>375</t>
  </si>
  <si>
    <t>7891000092606 9000000000376</t>
  </si>
  <si>
    <t>CHOC NESTLE PRESTIGIO BRC 33G</t>
  </si>
  <si>
    <t>368</t>
  </si>
  <si>
    <t>7891000251133 9000000000369</t>
  </si>
  <si>
    <t>CHOC NESTLE PRESTIGIO COCO 33G</t>
  </si>
  <si>
    <t>369</t>
  </si>
  <si>
    <t>7891000460207 9000000000370</t>
  </si>
  <si>
    <t>CHOC OREO 20G</t>
  </si>
  <si>
    <t>434</t>
  </si>
  <si>
    <t>78948150 9000000000435</t>
  </si>
  <si>
    <t>CHOC OURO BRANCO 20G</t>
  </si>
  <si>
    <t>435</t>
  </si>
  <si>
    <t>78939318 9000000000436</t>
  </si>
  <si>
    <t>CHOC OVOMALTINE ROCKS 40G</t>
  </si>
  <si>
    <t>562</t>
  </si>
  <si>
    <t>7897309408421</t>
  </si>
  <si>
    <t>CHOC PRESTIGIO DARK 33G</t>
  </si>
  <si>
    <t>374</t>
  </si>
  <si>
    <t>7891000118580 9000000000375</t>
  </si>
  <si>
    <t>CHOC SNICKERS BRANCO 45G</t>
  </si>
  <si>
    <t>772</t>
  </si>
  <si>
    <t>7896423488876 7896423488883 9000000000718</t>
  </si>
  <si>
    <t>CHOC SNICKERS DARK 45G</t>
  </si>
  <si>
    <t>773</t>
  </si>
  <si>
    <t>7896423481853 9000000000719</t>
  </si>
  <si>
    <t>CHOC SNICKERS ORIGINAL 45G</t>
  </si>
  <si>
    <t>771</t>
  </si>
  <si>
    <t>7896423420159 7896423420180 9000000000717</t>
  </si>
  <si>
    <t>CHOC SONHO VALSA 20G</t>
  </si>
  <si>
    <t>433</t>
  </si>
  <si>
    <t>9000000000434 905140000005</t>
  </si>
  <si>
    <t>CHOC SUFLAIR NESTLE 80G</t>
  </si>
  <si>
    <t>775</t>
  </si>
  <si>
    <t>9000000000721</t>
  </si>
  <si>
    <t>CHOC TALENTO AMENDOAS C/ PASSAS 25G</t>
  </si>
  <si>
    <t>453</t>
  </si>
  <si>
    <t>78907492 9000000000454</t>
  </si>
  <si>
    <t>CHOC TALENTO AVELA 25G</t>
  </si>
  <si>
    <t>454</t>
  </si>
  <si>
    <t>78907461 9000000000455</t>
  </si>
  <si>
    <t>CHOC TALENTO CASTANHA 25G</t>
  </si>
  <si>
    <t>587</t>
  </si>
  <si>
    <t>78907478</t>
  </si>
  <si>
    <t>CHOC TALENTO CEREAIS PASSAS 25G</t>
  </si>
  <si>
    <t>455</t>
  </si>
  <si>
    <t>78907485 9000000000456</t>
  </si>
  <si>
    <t>CHOC TALENTO DIET AVELA 25G</t>
  </si>
  <si>
    <t>452</t>
  </si>
  <si>
    <t>78917125</t>
  </si>
  <si>
    <t>572</t>
  </si>
  <si>
    <t>7896306625718</t>
  </si>
  <si>
    <t>CHOC TRENTO AO LEITE 40G</t>
  </si>
  <si>
    <t>561</t>
  </si>
  <si>
    <t>7896306616068</t>
  </si>
  <si>
    <t>CHOC TRENTO AVELA 29G</t>
  </si>
  <si>
    <t>582</t>
  </si>
  <si>
    <t>7896306625190</t>
  </si>
  <si>
    <t>CHOC TRENTO BANOFF 25G</t>
  </si>
  <si>
    <t>574</t>
  </si>
  <si>
    <t>7896306625169</t>
  </si>
  <si>
    <t>CHOC TRENTO BRANCO 40G</t>
  </si>
  <si>
    <t>557</t>
  </si>
  <si>
    <t>7896306621680</t>
  </si>
  <si>
    <t>CHOC TRENTO BRANCO C/ COOKIES 25G</t>
  </si>
  <si>
    <t>576</t>
  </si>
  <si>
    <t>7896306625022</t>
  </si>
  <si>
    <t>CHOC TRENTO BRANCO DARK 29G</t>
  </si>
  <si>
    <t>581</t>
  </si>
  <si>
    <t>7896306625251</t>
  </si>
  <si>
    <t>CHOC TRENTO BROWNIE 25G</t>
  </si>
  <si>
    <t>577</t>
  </si>
  <si>
    <t>7896306625046</t>
  </si>
  <si>
    <t>CHOC TRENTO CHOCOLATE 29G</t>
  </si>
  <si>
    <t>584</t>
  </si>
  <si>
    <t>7896306625237 7896306625244</t>
  </si>
  <si>
    <t>CHOC TRENTO COCO 25G</t>
  </si>
  <si>
    <t>578</t>
  </si>
  <si>
    <t>7896306625534</t>
  </si>
  <si>
    <t>CHOC TRENTO CROCANTE NUTS 25G</t>
  </si>
  <si>
    <t>579</t>
  </si>
  <si>
    <t>7896306625145</t>
  </si>
  <si>
    <t>CHOC TRENTO DARK 25G</t>
  </si>
  <si>
    <t>573</t>
  </si>
  <si>
    <t>7896306625084</t>
  </si>
  <si>
    <t>CHOC TRENTO DARK 29G</t>
  </si>
  <si>
    <t>583</t>
  </si>
  <si>
    <t>7896306625275</t>
  </si>
  <si>
    <t>CHOC TRENTO DARK 40G</t>
  </si>
  <si>
    <t>558</t>
  </si>
  <si>
    <t>7896306619496 9000000000566</t>
  </si>
  <si>
    <t>CHOC TRENTO MASSIMO CHOCOLATE 25G</t>
  </si>
  <si>
    <t>807</t>
  </si>
  <si>
    <t>7896306625077</t>
  </si>
  <si>
    <t>CHOC TRENTO MOUSSE SC 40G</t>
  </si>
  <si>
    <t>555</t>
  </si>
  <si>
    <t>7896306623240</t>
  </si>
  <si>
    <t>CHOC TRENTO TRAD 25G</t>
  </si>
  <si>
    <t>571</t>
  </si>
  <si>
    <t>7896306625060</t>
  </si>
  <si>
    <t>CHOC TRENTO TRUFA CHOC 29G</t>
  </si>
  <si>
    <t>580</t>
  </si>
  <si>
    <t>7896306625411</t>
  </si>
  <si>
    <t>CHOCOLATE QUENTE GRANDE</t>
  </si>
  <si>
    <t>129</t>
  </si>
  <si>
    <t>9000000000130</t>
  </si>
  <si>
    <t>CIG MARLBORO TROPICAL FUSION</t>
  </si>
  <si>
    <t>(1) MV  -  CONVENIENCIA|(1.1) MV | TABACARIA</t>
  </si>
  <si>
    <t>804</t>
  </si>
  <si>
    <t>78939837</t>
  </si>
  <si>
    <t>CIGARRETE CARNE DE SOL</t>
  </si>
  <si>
    <t>(1) MV  -  CARDAPIO|(1.1) MV | SALGADOS</t>
  </si>
  <si>
    <t>240</t>
  </si>
  <si>
    <t>9000000000241</t>
  </si>
  <si>
    <t>CIGARRETE FRANGO</t>
  </si>
  <si>
    <t>241</t>
  </si>
  <si>
    <t>9000000000242</t>
  </si>
  <si>
    <t>CIGARRETE MISTO</t>
  </si>
  <si>
    <t>242</t>
  </si>
  <si>
    <t>9000000000243</t>
  </si>
  <si>
    <t>CIGARRO EL PONCIO GUDANG GARAM</t>
  </si>
  <si>
    <t>703</t>
  </si>
  <si>
    <t>78946552 9000000000652</t>
  </si>
  <si>
    <t>CIGARRO MARLBORO FUSION 20UN</t>
  </si>
  <si>
    <t>699</t>
  </si>
  <si>
    <t>78937352</t>
  </si>
  <si>
    <t>CIGARRO MARLBORO GOLD 20UN</t>
  </si>
  <si>
    <t>705</t>
  </si>
  <si>
    <t>78900134 9000000000654</t>
  </si>
  <si>
    <t>CIGARRO MARLBORO GOLD SELECTION 20UN</t>
  </si>
  <si>
    <t>707</t>
  </si>
  <si>
    <t>78941618 9000000000656</t>
  </si>
  <si>
    <t>CIGARRO MARLBORO RED BOX 20UN</t>
  </si>
  <si>
    <t>708</t>
  </si>
  <si>
    <t>78903418 9000000000657</t>
  </si>
  <si>
    <t>CIGARRO MARLBORO RED SELECTION 20UN</t>
  </si>
  <si>
    <t>706</t>
  </si>
  <si>
    <t>78940871 9000000000655</t>
  </si>
  <si>
    <t>CIGARRO MARLBORO SELECTION 20UN</t>
  </si>
  <si>
    <t>698</t>
  </si>
  <si>
    <t>78948884</t>
  </si>
  <si>
    <t>CIGARRO SUPER PAIOL SLIM LUXURY 20UN</t>
  </si>
  <si>
    <t>702</t>
  </si>
  <si>
    <t>7896965856324 9000000000651</t>
  </si>
  <si>
    <t>CIGARRO SUPER PAIOL TRADICIONAL 20UN</t>
  </si>
  <si>
    <t>704</t>
  </si>
  <si>
    <t>7898956263203 9000000000653</t>
  </si>
  <si>
    <t>380</t>
  </si>
  <si>
    <t>2000000000001 9000000000381</t>
  </si>
  <si>
    <t>COXINHA CHARQUE C/ CHEDDAR</t>
  </si>
  <si>
    <t>234</t>
  </si>
  <si>
    <t>9000000000235</t>
  </si>
  <si>
    <t>COXINHA DE CARNE DO SOL</t>
  </si>
  <si>
    <t>232</t>
  </si>
  <si>
    <t>9000000000233</t>
  </si>
  <si>
    <t>COXINHA FRANGO</t>
  </si>
  <si>
    <t>228</t>
  </si>
  <si>
    <t>9000000000229</t>
  </si>
  <si>
    <t>COXINHA FRANGO CATUPIRY</t>
  </si>
  <si>
    <t>230</t>
  </si>
  <si>
    <t>9000000000231</t>
  </si>
  <si>
    <t>CREPIOCA CARNE SOL C/ MUSSARELA</t>
  </si>
  <si>
    <t>(1) MV  -  CARDAPIO|(1.1) MV | REGIONAIS</t>
  </si>
  <si>
    <t>181</t>
  </si>
  <si>
    <t>9000000000182</t>
  </si>
  <si>
    <t>CREPIOCA FRANGO C/ MUSSARELA</t>
  </si>
  <si>
    <t>180</t>
  </si>
  <si>
    <t>9000000000181</t>
  </si>
  <si>
    <t>CREPIOCA QUEIJO MUSSARELA</t>
  </si>
  <si>
    <t>179</t>
  </si>
  <si>
    <t>9000000000180</t>
  </si>
  <si>
    <t>CUSCUZ CARNE SOL DOIS OVOS P/ 2P</t>
  </si>
  <si>
    <t>178</t>
  </si>
  <si>
    <t>9000000000179</t>
  </si>
  <si>
    <t>CUSCUZ LAGOA CARNE SOL QUEIJO COALHO OVO FRITO</t>
  </si>
  <si>
    <t>177</t>
  </si>
  <si>
    <t>9000000000178</t>
  </si>
  <si>
    <t>CUSCUZ RECHEADO CARNE SOL</t>
  </si>
  <si>
    <t>175</t>
  </si>
  <si>
    <t>9000000000176</t>
  </si>
  <si>
    <t>CUSCUZ RECHEADO FRANGO</t>
  </si>
  <si>
    <t>174</t>
  </si>
  <si>
    <t>9000000000175</t>
  </si>
  <si>
    <t>CUSCUZ SALSICHA AO MOLHO</t>
  </si>
  <si>
    <t>176</t>
  </si>
  <si>
    <t>9000000000177</t>
  </si>
  <si>
    <t>Cabo Tipo C Tipo C</t>
  </si>
  <si>
    <t>782</t>
  </si>
  <si>
    <t>7898647780125</t>
  </si>
  <si>
    <t>DOCE BANANA NATURAL 100G</t>
  </si>
  <si>
    <t>377</t>
  </si>
  <si>
    <t>0736532343277 9000000000378</t>
  </si>
  <si>
    <t>DOCE BANANA ZERO 25G</t>
  </si>
  <si>
    <t>427</t>
  </si>
  <si>
    <t>2000000000032 7897276600200 9000000000428</t>
  </si>
  <si>
    <t>DOCE BEIJINHO</t>
  </si>
  <si>
    <t>109</t>
  </si>
  <si>
    <t>9000000000110</t>
  </si>
  <si>
    <t>DOCE DE LEITE 32G</t>
  </si>
  <si>
    <t>378</t>
  </si>
  <si>
    <t>2000000000008 7898930638027 9000000000379</t>
  </si>
  <si>
    <t>DOCE DE LEITE XUP LEITE 30G</t>
  </si>
  <si>
    <t>796</t>
  </si>
  <si>
    <t>7896202891439 9000000000731</t>
  </si>
  <si>
    <t>DOCE DE LEITE XUP LEITE 60G</t>
  </si>
  <si>
    <t>831</t>
  </si>
  <si>
    <t>7896202892184 9000000000752</t>
  </si>
  <si>
    <t>DORITOS SWEET 37G</t>
  </si>
  <si>
    <t>399</t>
  </si>
  <si>
    <t>7892840822439 9000000000400</t>
  </si>
  <si>
    <t>ELMA CHEETOS LUA 95G</t>
  </si>
  <si>
    <t>502</t>
  </si>
  <si>
    <t>7892840822514</t>
  </si>
  <si>
    <t>ELMA CHEETOS REQUEIJAO 105G</t>
  </si>
  <si>
    <t>499</t>
  </si>
  <si>
    <t>7892840823467</t>
  </si>
  <si>
    <t>ELMA DORITOS 75G</t>
  </si>
  <si>
    <t>504</t>
  </si>
  <si>
    <t>7892840822361</t>
  </si>
  <si>
    <t>ELMA DORITOS QUEIJO 37G</t>
  </si>
  <si>
    <t>506</t>
  </si>
  <si>
    <t>7892840822408</t>
  </si>
  <si>
    <t>ELMA DORITOS QUEIJO 75G</t>
  </si>
  <si>
    <t>505</t>
  </si>
  <si>
    <t>7892840822347</t>
  </si>
  <si>
    <t>ELMA FANDANGOS 105G</t>
  </si>
  <si>
    <t>498</t>
  </si>
  <si>
    <t>7892840822897</t>
  </si>
  <si>
    <t>EMB FASTFOOD H02 HAMBURGUER</t>
  </si>
  <si>
    <t>822</t>
  </si>
  <si>
    <t>9000000000746</t>
  </si>
  <si>
    <t>EMBALAGEM P/ VIAGEM</t>
  </si>
  <si>
    <t>625</t>
  </si>
  <si>
    <t>9000000000577</t>
  </si>
  <si>
    <t>EMPADA CAMARAO</t>
  </si>
  <si>
    <t>173</t>
  </si>
  <si>
    <t>9000000000174</t>
  </si>
  <si>
    <t>EMPADA DE CARNE DO SOL</t>
  </si>
  <si>
    <t>172</t>
  </si>
  <si>
    <t>9000000000173</t>
  </si>
  <si>
    <t>EMPADA DE FRANGO</t>
  </si>
  <si>
    <t>171</t>
  </si>
  <si>
    <t>9000000000172</t>
  </si>
  <si>
    <t>ENER RED BULL AMORA SUGAR FREE 250ML</t>
  </si>
  <si>
    <t>812</t>
  </si>
  <si>
    <t>9002490275020</t>
  </si>
  <si>
    <t>ENER RED BULL MELANCIA 250ML</t>
  </si>
  <si>
    <t>867</t>
  </si>
  <si>
    <t>9000000000772 9002490247379</t>
  </si>
  <si>
    <t>ENER RED BULL SUMER MORANGO PESSEGO 250ML</t>
  </si>
  <si>
    <t>813</t>
  </si>
  <si>
    <t>9002490268121</t>
  </si>
  <si>
    <t>ENER RED BULL TROPICAL 250ML</t>
  </si>
  <si>
    <t>811</t>
  </si>
  <si>
    <t>9002490229160</t>
  </si>
  <si>
    <t>ENERG GUARAMIX 500ML</t>
  </si>
  <si>
    <t>466</t>
  </si>
  <si>
    <t>7898216252107 9000000000541</t>
  </si>
  <si>
    <t>ENERG GUARAMIX CP 290ML</t>
  </si>
  <si>
    <t>465</t>
  </si>
  <si>
    <t>7898216250059 9000000000540</t>
  </si>
  <si>
    <t>ENERG GUARAMIX GF 500ML</t>
  </si>
  <si>
    <t>467</t>
  </si>
  <si>
    <t>7898216250042 9000000000542</t>
  </si>
  <si>
    <t>ENERG MONSTER JUICE 473ML</t>
  </si>
  <si>
    <t>460</t>
  </si>
  <si>
    <t>070847033301 9000000000529</t>
  </si>
  <si>
    <t>ENERG MONSTER TRAD 473ML</t>
  </si>
  <si>
    <t>393</t>
  </si>
  <si>
    <t>070847022015 70847022015 9000000000394</t>
  </si>
  <si>
    <t>ENERG MONSTER ULTRA VIOLET 473ML</t>
  </si>
  <si>
    <t>830</t>
  </si>
  <si>
    <t>070847033929 9000000000751</t>
  </si>
  <si>
    <t>ENERG MONSTER ZERO 473ML</t>
  </si>
  <si>
    <t>394</t>
  </si>
  <si>
    <t>7898938890076 9000000000395</t>
  </si>
  <si>
    <t>ENERG MONSTER ZERO ULTRA 473ML</t>
  </si>
  <si>
    <t>617</t>
  </si>
  <si>
    <t>070847022206 9000000000573</t>
  </si>
  <si>
    <t>ENERG TNT ACAI GUARANA 269ML</t>
  </si>
  <si>
    <t>862</t>
  </si>
  <si>
    <t>7897395001797 9000000000767</t>
  </si>
  <si>
    <t>ENERG TNT ACAI GUARANA 473ML</t>
  </si>
  <si>
    <t>693</t>
  </si>
  <si>
    <t>7898377662029 9000000000642</t>
  </si>
  <si>
    <t>ENERG TNT MACA VERDE 269ML</t>
  </si>
  <si>
    <t>384</t>
  </si>
  <si>
    <t>7897395001810 9000000000385</t>
  </si>
  <si>
    <t>ENERG TNT MACA VERDE ZERO ACUCAR 473ML</t>
  </si>
  <si>
    <t>847</t>
  </si>
  <si>
    <t>7898377662050</t>
  </si>
  <si>
    <t>ENERG TNT MANGO SUMMER 269ML</t>
  </si>
  <si>
    <t>385</t>
  </si>
  <si>
    <t>7897395001650 9000000000386</t>
  </si>
  <si>
    <t>ENERG TNT MANGO SUMMER 473ML</t>
  </si>
  <si>
    <t>694</t>
  </si>
  <si>
    <t>7897395001681 9000000000643</t>
  </si>
  <si>
    <t>ENERG TNT ORIGINAL 269ML</t>
  </si>
  <si>
    <t>382</t>
  </si>
  <si>
    <t>7897395031602 9000000000383</t>
  </si>
  <si>
    <t>ENERG TNT ORIGINAL 473ML</t>
  </si>
  <si>
    <t>392</t>
  </si>
  <si>
    <t>7897395031626 9000000000393</t>
  </si>
  <si>
    <t>ENERG TNT TANGERINA 473ML</t>
  </si>
  <si>
    <t>391</t>
  </si>
  <si>
    <t>7898377662081 9000000000392</t>
  </si>
  <si>
    <t>ENERG TNT ZERO FOCUS 473ML</t>
  </si>
  <si>
    <t>692</t>
  </si>
  <si>
    <t>7897395000363 9000000000641</t>
  </si>
  <si>
    <t>ENERG TNT ZERO ORIGINAL 269ML</t>
  </si>
  <si>
    <t>863</t>
  </si>
  <si>
    <t>7897395031657 9000000000768</t>
  </si>
  <si>
    <t>ENERG TNT ZERO ORIGINAL 473ML</t>
  </si>
  <si>
    <t>869</t>
  </si>
  <si>
    <t>7897395001735 9000000000774</t>
  </si>
  <si>
    <t>ENERGETICO BALY 250ML</t>
  </si>
  <si>
    <t>381</t>
  </si>
  <si>
    <t>9000000000382</t>
  </si>
  <si>
    <t>ENERGETICO BALY MACA VERDE 250ML</t>
  </si>
  <si>
    <t>459</t>
  </si>
  <si>
    <t>7898080664570 9000000000524</t>
  </si>
  <si>
    <t>ENERGETICO BALY MACA VERDE 473ML</t>
  </si>
  <si>
    <t>387</t>
  </si>
  <si>
    <t>7898080664587 9000000000388</t>
  </si>
  <si>
    <t>ENERGETICO BALY MELANCIA 250ML</t>
  </si>
  <si>
    <t>725</t>
  </si>
  <si>
    <t>7898080664372 9000000000674</t>
  </si>
  <si>
    <t>ENERGETICO BALY MELANCIA 473ML</t>
  </si>
  <si>
    <t>388</t>
  </si>
  <si>
    <t>7898080664402</t>
  </si>
  <si>
    <t>ENERGETICO BALY TRADICIONAL 473ML</t>
  </si>
  <si>
    <t>390</t>
  </si>
  <si>
    <t>7898080663733 9000000000391</t>
  </si>
  <si>
    <t>ENERGETICO BALY TROPICAL 250ML</t>
  </si>
  <si>
    <t>386</t>
  </si>
  <si>
    <t>7898080664037 9000000000387</t>
  </si>
  <si>
    <t>ENERGETICO BALY TROPICAL 473ML</t>
  </si>
  <si>
    <t>389</t>
  </si>
  <si>
    <t>7898080664273 9000000000390</t>
  </si>
  <si>
    <t>ENERGETICO RED BULL 250ML</t>
  </si>
  <si>
    <t>364</t>
  </si>
  <si>
    <t>611269991000 9000000000365</t>
  </si>
  <si>
    <t>ENERGETICO RED BULL 355ML</t>
  </si>
  <si>
    <t>367</t>
  </si>
  <si>
    <t>9000000000368 9002490209346 9002490225100</t>
  </si>
  <si>
    <t>ENERGETICO RED BULL 473ML</t>
  </si>
  <si>
    <t>365</t>
  </si>
  <si>
    <t>9000000000366 9002490214166</t>
  </si>
  <si>
    <t>ENERGETICO RED BULL CEREJA 250ML</t>
  </si>
  <si>
    <t>383</t>
  </si>
  <si>
    <t>9002490264093</t>
  </si>
  <si>
    <t>ENERGETICO RED BULL MELAO 250ML</t>
  </si>
  <si>
    <t>366</t>
  </si>
  <si>
    <t>9000000000367 9002490275013</t>
  </si>
  <si>
    <t>ENERGETICO RED BULL SUGAR FREE 250ML</t>
  </si>
  <si>
    <t>802</t>
  </si>
  <si>
    <t>611269101713 6113269101713 9000000000738 9002490243579</t>
  </si>
  <si>
    <t>ENERGETICO RED BULL SUGAR FREE 355ML</t>
  </si>
  <si>
    <t>844</t>
  </si>
  <si>
    <t>9000000000756</t>
  </si>
  <si>
    <t>ENROLADINHO SALSICHA</t>
  </si>
  <si>
    <t>560</t>
  </si>
  <si>
    <t>9000000000568</t>
  </si>
  <si>
    <t>ESPAGUETE A BOLONHESA</t>
  </si>
  <si>
    <t>169</t>
  </si>
  <si>
    <t>9000000000170</t>
  </si>
  <si>
    <t>ESTROGONOFF DE BOI</t>
  </si>
  <si>
    <t>168</t>
  </si>
  <si>
    <t>9000000000169</t>
  </si>
  <si>
    <t>ESTROGONOFF DE FRANGO</t>
  </si>
  <si>
    <t>167</t>
  </si>
  <si>
    <t>9000000000168</t>
  </si>
  <si>
    <t>FANDANGOS PRESUNTO 37G</t>
  </si>
  <si>
    <t>513</t>
  </si>
  <si>
    <t>7892840824778</t>
  </si>
  <si>
    <t>FANDANGOS QUEIJO 37G</t>
  </si>
  <si>
    <t>511</t>
  </si>
  <si>
    <t>7892840824785</t>
  </si>
  <si>
    <t>FANTA LARANJA 2L</t>
  </si>
  <si>
    <t>696</t>
  </si>
  <si>
    <t>7894900031515 9000000000645</t>
  </si>
  <si>
    <t>FATIA BOLO PUDIM</t>
  </si>
  <si>
    <t>115</t>
  </si>
  <si>
    <t>9000000000116</t>
  </si>
  <si>
    <t>FATIA PUDIM</t>
  </si>
  <si>
    <t>221</t>
  </si>
  <si>
    <t>9000000000222</t>
  </si>
  <si>
    <t>FATIA TORTA DE LIMAO</t>
  </si>
  <si>
    <t>258</t>
  </si>
  <si>
    <t>9000000000259</t>
  </si>
  <si>
    <t>FILE DE TILAPIA</t>
  </si>
  <si>
    <t>166</t>
  </si>
  <si>
    <t>9000000000167</t>
  </si>
  <si>
    <t>FILME PVC 38 CMX1000M ULTRA</t>
  </si>
  <si>
    <t>761</t>
  </si>
  <si>
    <t>9000000000710</t>
  </si>
  <si>
    <t>FINI GELATINA DENTADURAS 35G</t>
  </si>
  <si>
    <t>888</t>
  </si>
  <si>
    <t>7908228804536</t>
  </si>
  <si>
    <t>FINI TUBES MORANGO 35G</t>
  </si>
  <si>
    <t>886</t>
  </si>
  <si>
    <t>7908228805571</t>
  </si>
  <si>
    <t>FINI TUBES TWISTER 35G</t>
  </si>
  <si>
    <t>881</t>
  </si>
  <si>
    <t>7908228805632</t>
  </si>
  <si>
    <t>FINI TUTTI FRUT 35G</t>
  </si>
  <si>
    <t>612</t>
  </si>
  <si>
    <t>7908228805601</t>
  </si>
  <si>
    <t>FINI UVA 15G</t>
  </si>
  <si>
    <t>611</t>
  </si>
  <si>
    <t>7898591455643</t>
  </si>
  <si>
    <t>FOLHADO SABORES</t>
  </si>
  <si>
    <t>238</t>
  </si>
  <si>
    <t>9000000000239</t>
  </si>
  <si>
    <t>FONE DE OUVIDO</t>
  </si>
  <si>
    <t>746</t>
  </si>
  <si>
    <t>9000000000697</t>
  </si>
  <si>
    <t>FONE DE OUVIDO PARA IPHONE</t>
  </si>
  <si>
    <t>747</t>
  </si>
  <si>
    <t>9000000000698</t>
  </si>
  <si>
    <t>FRUITTELLA CARAMELO 41G</t>
  </si>
  <si>
    <t>899</t>
  </si>
  <si>
    <t>7895144025117 7895144125114</t>
  </si>
  <si>
    <t>FRUITTELLA MORANGO 40G</t>
  </si>
  <si>
    <t>898</t>
  </si>
  <si>
    <t>789622301022 7896262305075</t>
  </si>
  <si>
    <t>G658 SF EMB DOCE QUAD C/ TAMPA ART 500ML</t>
  </si>
  <si>
    <t>759</t>
  </si>
  <si>
    <t>7897511738583</t>
  </si>
  <si>
    <t>GARRAFA 500ML</t>
  </si>
  <si>
    <t>853</t>
  </si>
  <si>
    <t>9000000000759</t>
  </si>
  <si>
    <t>H2O GF 1500ML</t>
  </si>
  <si>
    <t>357</t>
  </si>
  <si>
    <t>7892840812478 9000000000358</t>
  </si>
  <si>
    <t>358</t>
  </si>
  <si>
    <t>7892840812423 7892840812447 9000000000359</t>
  </si>
  <si>
    <t>H2O LIMONETO 500ML</t>
  </si>
  <si>
    <t>359</t>
  </si>
  <si>
    <t>7892840812850 7892840812867 9000000000360</t>
  </si>
  <si>
    <t>H2OH LIMONETO PET 1,5</t>
  </si>
  <si>
    <t>841</t>
  </si>
  <si>
    <t>7892840812881</t>
  </si>
  <si>
    <t>HALLS CEREJA 28G (21UN)</t>
  </si>
  <si>
    <t>404</t>
  </si>
  <si>
    <t>7622210812636 78938793 9000000000405</t>
  </si>
  <si>
    <t>HALLS EXTRA FORTE 28G (21UN)</t>
  </si>
  <si>
    <t>408</t>
  </si>
  <si>
    <t>7622210878946 78938816 9000000000409</t>
  </si>
  <si>
    <t>HALLS MELANCIA 28G</t>
  </si>
  <si>
    <t>410</t>
  </si>
  <si>
    <t>78938854 9000000000411</t>
  </si>
  <si>
    <t>HALLS MENTA 28G (21UN)</t>
  </si>
  <si>
    <t>403</t>
  </si>
  <si>
    <t>7622210857255 78938830 9000000000404</t>
  </si>
  <si>
    <t>HALLS MENTA PRATA 28G</t>
  </si>
  <si>
    <t>405</t>
  </si>
  <si>
    <t>78938878 9000000000406</t>
  </si>
  <si>
    <t>HALLS MENTOL 28G (21UN)</t>
  </si>
  <si>
    <t>409</t>
  </si>
  <si>
    <t>7622210857293 78938823 9000000000410</t>
  </si>
  <si>
    <t>HALLS MORANGO 28G (21UN)</t>
  </si>
  <si>
    <t>406</t>
  </si>
  <si>
    <t>7622210857774 78938847 9000000000407</t>
  </si>
  <si>
    <t>HALLS UVA VERDE 28G</t>
  </si>
  <si>
    <t>613</t>
  </si>
  <si>
    <t>78938861</t>
  </si>
  <si>
    <t>HALLS UVA VERDE 28G (21UN)</t>
  </si>
  <si>
    <t>851</t>
  </si>
  <si>
    <t>7622210854896</t>
  </si>
  <si>
    <t>ICE CABARE FRUT AMAR 275ML</t>
  </si>
  <si>
    <t>312</t>
  </si>
  <si>
    <t>7897395000479 9000000000313</t>
  </si>
  <si>
    <t>ICE CABARE FRUT VERM 275ML</t>
  </si>
  <si>
    <t>311</t>
  </si>
  <si>
    <t>7897395000509 9000000000312</t>
  </si>
  <si>
    <t>ICE CABARE LIMAO 275ML</t>
  </si>
  <si>
    <t>310</t>
  </si>
  <si>
    <t>7898377661848 9000000000311</t>
  </si>
  <si>
    <t>ICE SMIRNOFF  275ML</t>
  </si>
  <si>
    <t>309</t>
  </si>
  <si>
    <t>7893218003603 9000000000310</t>
  </si>
  <si>
    <t>ICE TEA CHA LEAO PESSEGO 1LT</t>
  </si>
  <si>
    <t>489</t>
  </si>
  <si>
    <t>7891098040992</t>
  </si>
  <si>
    <t>ICE TEA CHA LEAO lIMAO 1L</t>
  </si>
  <si>
    <t>793</t>
  </si>
  <si>
    <t>7891098040985 9000000000729</t>
  </si>
  <si>
    <t>ICE TEA LEAO LIMAO 300ML</t>
  </si>
  <si>
    <t>794</t>
  </si>
  <si>
    <t>7891098040831 9000000000730</t>
  </si>
  <si>
    <t>ICE TEA LEAO PESSEGO 300ML</t>
  </si>
  <si>
    <t>490</t>
  </si>
  <si>
    <t>7891098040886</t>
  </si>
  <si>
    <t>ISOTONICO GATORADE LARANJA 500ML</t>
  </si>
  <si>
    <t>350</t>
  </si>
  <si>
    <t>9000000000351</t>
  </si>
  <si>
    <t>ISOTONICO GATORADE LIMAO 500ML</t>
  </si>
  <si>
    <t>348</t>
  </si>
  <si>
    <t>7892840808037 9000000000349</t>
  </si>
  <si>
    <t>ISOTONICO GATORADE MORANGO 500ML</t>
  </si>
  <si>
    <t>724</t>
  </si>
  <si>
    <t>7892840808174 7892840808440 9000000000673</t>
  </si>
  <si>
    <t>ISOTONICO GATORADE UVA 500ML</t>
  </si>
  <si>
    <t>352</t>
  </si>
  <si>
    <t>7892840808051 9000000000353</t>
  </si>
  <si>
    <t>ISOTONICO TNT SPORT LARANJA 500ML</t>
  </si>
  <si>
    <t>865</t>
  </si>
  <si>
    <t>7898377661695 9000000000770</t>
  </si>
  <si>
    <t>ISOTONICO TNT SPORT LIMAO 500ML</t>
  </si>
  <si>
    <t>347</t>
  </si>
  <si>
    <t>7898377661718 9000000000348</t>
  </si>
  <si>
    <t>ISOTONICO TNT SPORT TANGERINA 500ML</t>
  </si>
  <si>
    <t>864</t>
  </si>
  <si>
    <t>7898377661732 9000000000769</t>
  </si>
  <si>
    <t>ISOTONICO TNT SPORT UVA 500ML</t>
  </si>
  <si>
    <t>691</t>
  </si>
  <si>
    <t>7898377661756 9000000000640</t>
  </si>
  <si>
    <t>ISQUEIRO BIC MAXI J6</t>
  </si>
  <si>
    <t>710</t>
  </si>
  <si>
    <t>070330909229 9000000000659</t>
  </si>
  <si>
    <t>ISQUEIRO BIC MINI J5</t>
  </si>
  <si>
    <t>709</t>
  </si>
  <si>
    <t>070330913431 9000000000658</t>
  </si>
  <si>
    <t>ITALAC PROPLAY PROT 250ML</t>
  </si>
  <si>
    <t>488</t>
  </si>
  <si>
    <t>7898080643292</t>
  </si>
  <si>
    <t>JUNGLE ABACAXI/HORTELA 500ML</t>
  </si>
  <si>
    <t>462</t>
  </si>
  <si>
    <t>7898692301993 9000000000535</t>
  </si>
  <si>
    <t>JUNGLE MELANCIA/LIMAO 500ML</t>
  </si>
  <si>
    <t>856</t>
  </si>
  <si>
    <t>7898692301986 9000000000762</t>
  </si>
  <si>
    <t>JUNGLE MORANGO/ LIMAO 500ML</t>
  </si>
  <si>
    <t>464</t>
  </si>
  <si>
    <t>7898692300873 9000000000538</t>
  </si>
  <si>
    <t>JUNGLE TANGERINA 500ML</t>
  </si>
  <si>
    <t>463</t>
  </si>
  <si>
    <t>7898692300866 9000000000536</t>
  </si>
  <si>
    <t>JUNGLE UVA 500ML</t>
  </si>
  <si>
    <t>461</t>
  </si>
  <si>
    <t>7898692300880 9000000000532</t>
  </si>
  <si>
    <t>KINDER BUENO BRANCO 39G</t>
  </si>
  <si>
    <t>416</t>
  </si>
  <si>
    <t>7898024397113 9000000000417</t>
  </si>
  <si>
    <t>KINDER TRONKY 18G</t>
  </si>
  <si>
    <t>415</t>
  </si>
  <si>
    <t>8000500384763 9000000000416</t>
  </si>
  <si>
    <t>KISS MINT MENTOS 35G</t>
  </si>
  <si>
    <t>879</t>
  </si>
  <si>
    <t>7895144695679</t>
  </si>
  <si>
    <t>KISS STRAWB MENTOS 35G</t>
  </si>
  <si>
    <t>884</t>
  </si>
  <si>
    <t>7895144695686</t>
  </si>
  <si>
    <t>KIT KAT DARK 41 5G</t>
  </si>
  <si>
    <t>567</t>
  </si>
  <si>
    <t>7891000248829</t>
  </si>
  <si>
    <t>LAGOA GUISADO DE BOI FEIJAO CASEIRO</t>
  </si>
  <si>
    <t>157</t>
  </si>
  <si>
    <t>9000000000158</t>
  </si>
  <si>
    <t>LAGOA GUISADO DE BOI FEIJAO TROPEIRO</t>
  </si>
  <si>
    <t>153</t>
  </si>
  <si>
    <t>9000000000154</t>
  </si>
  <si>
    <t>LEITE QUENTE</t>
  </si>
  <si>
    <t>496</t>
  </si>
  <si>
    <t>9000000000561</t>
  </si>
  <si>
    <t>LEITE QUENTE GRANDE</t>
  </si>
  <si>
    <t>728</t>
  </si>
  <si>
    <t>9000000000677</t>
  </si>
  <si>
    <t>LUVA NITRIL S/ PO ROSA VABENE (M) C/100</t>
  </si>
  <si>
    <t>CX</t>
  </si>
  <si>
    <t>762</t>
  </si>
  <si>
    <t>7898546009587</t>
  </si>
  <si>
    <t>MACAXEIRA C/ CALABRESA</t>
  </si>
  <si>
    <t>152</t>
  </si>
  <si>
    <t>9000000000153</t>
  </si>
  <si>
    <t>MACAXEIRA C/ CARNE SOL QUEIJO COALHO OVO FRITO</t>
  </si>
  <si>
    <t>151</t>
  </si>
  <si>
    <t>9000000000152</t>
  </si>
  <si>
    <t>MACAXEIRA C/ CHARQUE QUEIJO COALHO OVO FRITO</t>
  </si>
  <si>
    <t>150</t>
  </si>
  <si>
    <t>9000000000151</t>
  </si>
  <si>
    <t>MACAXEIRA C/ GUISADO BOI</t>
  </si>
  <si>
    <t>148</t>
  </si>
  <si>
    <t>9000000000149</t>
  </si>
  <si>
    <t>MACAXEIRA GRATINADA CARNE</t>
  </si>
  <si>
    <t>147</t>
  </si>
  <si>
    <t>9000000000148</t>
  </si>
  <si>
    <t>MACAXEIRA GRATINADA FRANGO</t>
  </si>
  <si>
    <t>144</t>
  </si>
  <si>
    <t>9000000000145</t>
  </si>
  <si>
    <t>MAXEIRA C/ CHARQUE QUEIJO COALHO OVO FRITO</t>
  </si>
  <si>
    <t>149</t>
  </si>
  <si>
    <t>9000000000150</t>
  </si>
  <si>
    <t>MENTOS CONFEITO STICK SORTIDOS FRUIT  37,5G</t>
  </si>
  <si>
    <t>895</t>
  </si>
  <si>
    <t>7896262304467</t>
  </si>
  <si>
    <t>MENTOS GF PURE SPEARMINT 56G</t>
  </si>
  <si>
    <t>878</t>
  </si>
  <si>
    <t>7895144899961</t>
  </si>
  <si>
    <t>MENTOS KISS 35G</t>
  </si>
  <si>
    <t>417</t>
  </si>
  <si>
    <t>7895144605685 9000000000418</t>
  </si>
  <si>
    <t>MENTOS MINT 37G</t>
  </si>
  <si>
    <t>411</t>
  </si>
  <si>
    <t>7896262304306 9000000000412</t>
  </si>
  <si>
    <t>MENTOS MORANGO 37G</t>
  </si>
  <si>
    <t>413</t>
  </si>
  <si>
    <t>7895144603087 9000000000414</t>
  </si>
  <si>
    <t>MENTOS PIRULITO CHUPA-CHUPS 12G</t>
  </si>
  <si>
    <t>880</t>
  </si>
  <si>
    <t>78947818 7895144017020</t>
  </si>
  <si>
    <t>MENTOS PURE FRESH MINT 56G</t>
  </si>
  <si>
    <t>897</t>
  </si>
  <si>
    <t>7895144080116</t>
  </si>
  <si>
    <t>MENTOS PURE FRESH MINT 8,5G</t>
  </si>
  <si>
    <t>892</t>
  </si>
  <si>
    <t>7895144859941 7895144893730</t>
  </si>
  <si>
    <t>MENTOS PURE FRESH WINTERGREEN 56G</t>
  </si>
  <si>
    <t>877</t>
  </si>
  <si>
    <t>7895144080123</t>
  </si>
  <si>
    <t>MENTOS PURE FRUIT 8,5 G</t>
  </si>
  <si>
    <t>890</t>
  </si>
  <si>
    <t>7895144859934</t>
  </si>
  <si>
    <t>MENTOS RAINBOW 37G</t>
  </si>
  <si>
    <t>414</t>
  </si>
  <si>
    <t>7895144603148 9000000000415</t>
  </si>
  <si>
    <t>MENTOS SPEARMINT 37G</t>
  </si>
  <si>
    <t>412</t>
  </si>
  <si>
    <t>7895144900025 9000000000413</t>
  </si>
  <si>
    <t>MENTOS SPEARMINT 8,5G</t>
  </si>
  <si>
    <t>893</t>
  </si>
  <si>
    <t>7895144852935</t>
  </si>
  <si>
    <t>MENTOS STICK BRASIL LIMAO 37,5G</t>
  </si>
  <si>
    <t>883</t>
  </si>
  <si>
    <t>7895144900094 7895144900100</t>
  </si>
  <si>
    <t>MENTOS STICK FRUTAS 37,5G</t>
  </si>
  <si>
    <t>891</t>
  </si>
  <si>
    <t>7895144693149</t>
  </si>
  <si>
    <t>MENTOS TUTTI FRUT 8 5G</t>
  </si>
  <si>
    <t>604</t>
  </si>
  <si>
    <t>8935001728306</t>
  </si>
  <si>
    <t>MINI TORTA DE CHOCOLATE RECHEADA</t>
  </si>
  <si>
    <t>255</t>
  </si>
  <si>
    <t>9000000000256</t>
  </si>
  <si>
    <t>MISTO QUENTE C PAO DE FORMA</t>
  </si>
  <si>
    <t>142</t>
  </si>
  <si>
    <t>9000000000143</t>
  </si>
  <si>
    <t>MISTO QUENTE COM PAO FRANCES</t>
  </si>
  <si>
    <t>143</t>
  </si>
  <si>
    <t>9000000000144</t>
  </si>
  <si>
    <t>MM CHOCOLATE 40G</t>
  </si>
  <si>
    <t>778</t>
  </si>
  <si>
    <t>7896423438727 7896423438734 9000000000724</t>
  </si>
  <si>
    <t>MM CHOCOLATE TUBO 30G</t>
  </si>
  <si>
    <t>777</t>
  </si>
  <si>
    <t>7896423419276 9000000000723</t>
  </si>
  <si>
    <t>MM CRISPY 35G</t>
  </si>
  <si>
    <t>896</t>
  </si>
  <si>
    <t>7896423401103</t>
  </si>
  <si>
    <t>MP ACUCAR</t>
  </si>
  <si>
    <t>(2.1) MP  -  ALIMENTOS|(2.1.1) | CEREAIS / GRAOS</t>
  </si>
  <si>
    <t>21</t>
  </si>
  <si>
    <t>9000000000022</t>
  </si>
  <si>
    <t>MP ACUCAR REFINADO</t>
  </si>
  <si>
    <t>22</t>
  </si>
  <si>
    <t>9000000000023</t>
  </si>
  <si>
    <t>MP AGUA</t>
  </si>
  <si>
    <t>(2) MP  -  MATERIAS PRIMA AEB</t>
  </si>
  <si>
    <t>LT</t>
  </si>
  <si>
    <t>225</t>
  </si>
  <si>
    <t>9000000000226</t>
  </si>
  <si>
    <t>MP ALFACE CRESPA</t>
  </si>
  <si>
    <t>(2.1) MP  -  ALIMENTOS|(2.1.1) | HORTIFRUTI</t>
  </si>
  <si>
    <t>1</t>
  </si>
  <si>
    <t>2000000000002 9000000000002</t>
  </si>
  <si>
    <t>MP ALHO GRANEL</t>
  </si>
  <si>
    <t>(2.1) MP  -  ALIMENTOS|(2.1.1) | CONDIMENTOS / ESPECIARIAS</t>
  </si>
  <si>
    <t>23</t>
  </si>
  <si>
    <t>2000000000029 9000000000024</t>
  </si>
  <si>
    <t>MP AMACIANTE DE CARNE</t>
  </si>
  <si>
    <t>24</t>
  </si>
  <si>
    <t>9000000000025</t>
  </si>
  <si>
    <t>MP AMENDOIM GRANULADO</t>
  </si>
  <si>
    <t>(2.1) MP  -  ALIMENTOS|(2.1.1) | ITENS DE CONFEITARIA</t>
  </si>
  <si>
    <t>25</t>
  </si>
  <si>
    <t>7898525480024 9000000000026</t>
  </si>
  <si>
    <t>MP ARROZ</t>
  </si>
  <si>
    <t>26</t>
  </si>
  <si>
    <t>7893500020301 9000000000027</t>
  </si>
  <si>
    <t>MP ATUM</t>
  </si>
  <si>
    <t>(2.1) MP  -  ALIMENTOS|(2.1.1) | CARNES / AVES / PEIXES</t>
  </si>
  <si>
    <t>140</t>
  </si>
  <si>
    <t>9000000000141</t>
  </si>
  <si>
    <t>MP AZEITE</t>
  </si>
  <si>
    <t>(2.1) MP  -  ALIMENTOS|(2.1.1) | OLEOS / AZEITES / VINAGRES</t>
  </si>
  <si>
    <t>27</t>
  </si>
  <si>
    <t>9000000000028</t>
  </si>
  <si>
    <t>MP BACON</t>
  </si>
  <si>
    <t>93</t>
  </si>
  <si>
    <t>9000000000094</t>
  </si>
  <si>
    <t>MP BATATA INGLESA</t>
  </si>
  <si>
    <t>13</t>
  </si>
  <si>
    <t>2000000000011 9000000000014</t>
  </si>
  <si>
    <t>MP BATATA PRE FRITA</t>
  </si>
  <si>
    <t>(2.1) MP  -  ALIMENTOS|(2.1.1) | FRIOS / EMBUTIDOS</t>
  </si>
  <si>
    <t>28</t>
  </si>
  <si>
    <t>9000000000029</t>
  </si>
  <si>
    <t>MP CAFE TRES CORACOES</t>
  </si>
  <si>
    <t>(2.1) MP  -  ALIMENTOS|(2.1.1) | ITENS DE PADARIA</t>
  </si>
  <si>
    <t>29</t>
  </si>
  <si>
    <t>9000000000030</t>
  </si>
  <si>
    <t>MP CALDO DE FRANGO COZIDO</t>
  </si>
  <si>
    <t>(2.1) MP  -  ALIMENTOS|(2.1.1) | MOLHOS / CONSERVAS</t>
  </si>
  <si>
    <t>226</t>
  </si>
  <si>
    <t>9000000000227</t>
  </si>
  <si>
    <t>MP CALDO DELICIAS DO MAR</t>
  </si>
  <si>
    <t>30</t>
  </si>
  <si>
    <t>7891150087262 9000000000031</t>
  </si>
  <si>
    <t>MP CALDO SAZON CARNE</t>
  </si>
  <si>
    <t>31</t>
  </si>
  <si>
    <t>7891132005840 9000000000032</t>
  </si>
  <si>
    <t>MP CALDO SAZON FRANGO</t>
  </si>
  <si>
    <t>32</t>
  </si>
  <si>
    <t>7891132005833 9000000000033</t>
  </si>
  <si>
    <t>MP CAMARAO</t>
  </si>
  <si>
    <t>(2.1) MP  -  ALIMENTOS|(2.1.1) | FRUTOS DO MAR / CRUSTACEOS</t>
  </si>
  <si>
    <t>94</t>
  </si>
  <si>
    <t>9000000000095</t>
  </si>
  <si>
    <t>MP CAMARAO PROCESSADO</t>
  </si>
  <si>
    <t>95</t>
  </si>
  <si>
    <t>9000000000096</t>
  </si>
  <si>
    <t>MP CAPPUTINO TRES CORACOES</t>
  </si>
  <si>
    <t>33</t>
  </si>
  <si>
    <t>9000000000034</t>
  </si>
  <si>
    <t>MP CARNE CONTRA FILE</t>
  </si>
  <si>
    <t>96</t>
  </si>
  <si>
    <t>631911524943 9000000000097</t>
  </si>
  <si>
    <t>MP CARNE CONTRA FILE PROCESSADA</t>
  </si>
  <si>
    <t>97</t>
  </si>
  <si>
    <t>9000000000098</t>
  </si>
  <si>
    <t>MP CARNE DE CHARQUE</t>
  </si>
  <si>
    <t>133</t>
  </si>
  <si>
    <t>9000000000134</t>
  </si>
  <si>
    <t>MP CARNE DE CHARQUE PROCESSADA</t>
  </si>
  <si>
    <t>98</t>
  </si>
  <si>
    <t>9000000000099</t>
  </si>
  <si>
    <t>MP CARNE DE SOL</t>
  </si>
  <si>
    <t>99</t>
  </si>
  <si>
    <t>9000000000100</t>
  </si>
  <si>
    <t>MP CARNE DE SOL PROCESSADA</t>
  </si>
  <si>
    <t>100</t>
  </si>
  <si>
    <t>9000000000101</t>
  </si>
  <si>
    <t>MP CARNE GUISADA</t>
  </si>
  <si>
    <t>134</t>
  </si>
  <si>
    <t>9000000000135</t>
  </si>
  <si>
    <t>MP CARNE GUISADA PROCESSADA</t>
  </si>
  <si>
    <t>101</t>
  </si>
  <si>
    <t>9000000000102</t>
  </si>
  <si>
    <t>MP CARNE MOIDA</t>
  </si>
  <si>
    <t>102</t>
  </si>
  <si>
    <t>9000000000103</t>
  </si>
  <si>
    <t>MP CARNE MOIDA PROCESSADA</t>
  </si>
  <si>
    <t>103</t>
  </si>
  <si>
    <t>9000000000104</t>
  </si>
  <si>
    <t>MP CARNE PAULISTA</t>
  </si>
  <si>
    <t>104</t>
  </si>
  <si>
    <t>9000000000105</t>
  </si>
  <si>
    <t>MP CEBOLA</t>
  </si>
  <si>
    <t>14</t>
  </si>
  <si>
    <t>2000000000012 9000000000015</t>
  </si>
  <si>
    <t>MP CENOURA</t>
  </si>
  <si>
    <t>119</t>
  </si>
  <si>
    <t>2000000000004 9000000000120</t>
  </si>
  <si>
    <t>141</t>
  </si>
  <si>
    <t>9000000000142</t>
  </si>
  <si>
    <t>MP CEREJA EM CALDA</t>
  </si>
  <si>
    <t>34</t>
  </si>
  <si>
    <t>7897259401251 9000000000035</t>
  </si>
  <si>
    <t>MP CHEDDAR GOURMERT</t>
  </si>
  <si>
    <t>35</t>
  </si>
  <si>
    <t>9000000000036</t>
  </si>
  <si>
    <t>MP CHIMICHURRI</t>
  </si>
  <si>
    <t>36</t>
  </si>
  <si>
    <t>9000000000037</t>
  </si>
  <si>
    <t>MP CHOCOLATE EM PO SELECTA</t>
  </si>
  <si>
    <t>37</t>
  </si>
  <si>
    <t>7896411807177 9000000000038</t>
  </si>
  <si>
    <t>MP COBERTURA FRACIONADA SABORES 1,010KG</t>
  </si>
  <si>
    <t>38</t>
  </si>
  <si>
    <t>9000000000039</t>
  </si>
  <si>
    <t>MP COBERTURA SELECTA 1.01KG</t>
  </si>
  <si>
    <t>39</t>
  </si>
  <si>
    <t>9000000000040</t>
  </si>
  <si>
    <t>MP COCO RALADO</t>
  </si>
  <si>
    <t>40</t>
  </si>
  <si>
    <t>7898905356062 9000000000041</t>
  </si>
  <si>
    <t>MP COENTRO</t>
  </si>
  <si>
    <t>15</t>
  </si>
  <si>
    <t>2000000000013 9000000000016</t>
  </si>
  <si>
    <t>MP COLORAL</t>
  </si>
  <si>
    <t>41</t>
  </si>
  <si>
    <t>7896481140020 9000000000042</t>
  </si>
  <si>
    <t>MP CREME DE LEITE</t>
  </si>
  <si>
    <t>42</t>
  </si>
  <si>
    <t>7896051128137 9000000000043</t>
  </si>
  <si>
    <t>MP CREME DE LEITE CULINARIO</t>
  </si>
  <si>
    <t>43</t>
  </si>
  <si>
    <t>7898610604168 9000000000044</t>
  </si>
  <si>
    <t>MP DOCE DE LEITE BISNAGA</t>
  </si>
  <si>
    <t>44</t>
  </si>
  <si>
    <t>7896180785492 9000000000045</t>
  </si>
  <si>
    <t>MP FARINHA DE AMENDOIN</t>
  </si>
  <si>
    <t>45</t>
  </si>
  <si>
    <t>7898525480031 9000000000046</t>
  </si>
  <si>
    <t>MP FARINHA DE MANDIOCA</t>
  </si>
  <si>
    <t>46</t>
  </si>
  <si>
    <t>9000000000047</t>
  </si>
  <si>
    <t>MP FARINHA DE ROSCA</t>
  </si>
  <si>
    <t>47</t>
  </si>
  <si>
    <t>9000000000048</t>
  </si>
  <si>
    <t>MP FARINHA DE TRIGO</t>
  </si>
  <si>
    <t>48</t>
  </si>
  <si>
    <t>7892020200651 9000000000049</t>
  </si>
  <si>
    <t>MP FEIJAO</t>
  </si>
  <si>
    <t>49</t>
  </si>
  <si>
    <t>9000000000050</t>
  </si>
  <si>
    <t>MP FEIJAO FRADINHO</t>
  </si>
  <si>
    <t>50</t>
  </si>
  <si>
    <t>9000000000051</t>
  </si>
  <si>
    <t>MP FERMENTO BIOLOGICO</t>
  </si>
  <si>
    <t>120</t>
  </si>
  <si>
    <t>9000000000121</t>
  </si>
  <si>
    <t>MP FERMENTO QUIMICO</t>
  </si>
  <si>
    <t>51</t>
  </si>
  <si>
    <t>7899681407894 9000000000052</t>
  </si>
  <si>
    <t>MP FILE DE TILAPIA KG</t>
  </si>
  <si>
    <t>105</t>
  </si>
  <si>
    <t>7896419731801 9000000000106</t>
  </si>
  <si>
    <t>MP FLOCAO DE MILHO</t>
  </si>
  <si>
    <t>52</t>
  </si>
  <si>
    <t>7896481130137 9000000000053</t>
  </si>
  <si>
    <t>MP FOLHA DE LOURO</t>
  </si>
  <si>
    <t>53</t>
  </si>
  <si>
    <t>9000000000054</t>
  </si>
  <si>
    <t>MP FOLHADO SABORES</t>
  </si>
  <si>
    <t>237</t>
  </si>
  <si>
    <t>7896872100626 7896872100633 9000000000238</t>
  </si>
  <si>
    <t>MP FRANGO</t>
  </si>
  <si>
    <t>106</t>
  </si>
  <si>
    <t>17896419720383 9000000000107</t>
  </si>
  <si>
    <t>MP FRANGO PROCESSADA</t>
  </si>
  <si>
    <t>107</t>
  </si>
  <si>
    <t>9000000000108</t>
  </si>
  <si>
    <t>MP GAS ONU 1075 GLP 2.1</t>
  </si>
  <si>
    <t>54</t>
  </si>
  <si>
    <t>9000000000055</t>
  </si>
  <si>
    <t>MP GERGELIN INTEGRAL</t>
  </si>
  <si>
    <t>55</t>
  </si>
  <si>
    <t>9000000000056</t>
  </si>
  <si>
    <t>MP GOMA DE TAPIOCA</t>
  </si>
  <si>
    <t>56</t>
  </si>
  <si>
    <t>9000000000057</t>
  </si>
  <si>
    <t>MP GORDURA VEGETAL</t>
  </si>
  <si>
    <t>57</t>
  </si>
  <si>
    <t>7898621560118 7898914796286 9000000000058</t>
  </si>
  <si>
    <t>MP GRANULADO</t>
  </si>
  <si>
    <t>58</t>
  </si>
  <si>
    <t>9000000000059</t>
  </si>
  <si>
    <t>MP HAMBURGUER CARNE</t>
  </si>
  <si>
    <t>2</t>
  </si>
  <si>
    <t>9000000000003</t>
  </si>
  <si>
    <t>MP LARANJA</t>
  </si>
  <si>
    <t>16</t>
  </si>
  <si>
    <t>2000000000014 9000000000017</t>
  </si>
  <si>
    <t>MP LEITE 1LT</t>
  </si>
  <si>
    <t>(2.1) MP  -  ALIMENTOS|(2.1.1) | LATICINEOS</t>
  </si>
  <si>
    <t>59</t>
  </si>
  <si>
    <t>7896085307010 7898215151708 9000000000060</t>
  </si>
  <si>
    <t>MP LEITE CONDENSADO</t>
  </si>
  <si>
    <t>60</t>
  </si>
  <si>
    <t>7898080640413 7898215152002 9000000000061</t>
  </si>
  <si>
    <t>61</t>
  </si>
  <si>
    <t>9000000000062</t>
  </si>
  <si>
    <t>62</t>
  </si>
  <si>
    <t>9000000000063</t>
  </si>
  <si>
    <t>MP LEITE EM PO</t>
  </si>
  <si>
    <t>63</t>
  </si>
  <si>
    <t>7896259481447 9000000000064</t>
  </si>
  <si>
    <t>64</t>
  </si>
  <si>
    <t>9000000000065</t>
  </si>
  <si>
    <t>MP LIMAO</t>
  </si>
  <si>
    <t>17</t>
  </si>
  <si>
    <t>9000000000018</t>
  </si>
  <si>
    <t>MP LINGUICA CALABRESA DEFUMADA</t>
  </si>
  <si>
    <t>65</t>
  </si>
  <si>
    <t>9000000000066</t>
  </si>
  <si>
    <t>MP MACARRAO ESPAGUETE</t>
  </si>
  <si>
    <t>(2.1) MP  -  ALIMENTOS|(2.1.1) | MASSAS FRESCAS / SECAS</t>
  </si>
  <si>
    <t>66</t>
  </si>
  <si>
    <t>7896022205775 9000000000067</t>
  </si>
  <si>
    <t>MP MACAXEIRA</t>
  </si>
  <si>
    <t>(2.1) MP  -  ALIMENTOS|(2.1.1) | ALIMENTACAO EQUIPE</t>
  </si>
  <si>
    <t>67</t>
  </si>
  <si>
    <t>9000000000068</t>
  </si>
  <si>
    <t>MP MAIONESE</t>
  </si>
  <si>
    <t>68</t>
  </si>
  <si>
    <t>7891150055285 9000000000069</t>
  </si>
  <si>
    <t>MP MANGERICAO</t>
  </si>
  <si>
    <t>146</t>
  </si>
  <si>
    <t>2000000000040 9000000000147</t>
  </si>
  <si>
    <t>MP MANJERICAO</t>
  </si>
  <si>
    <t>18</t>
  </si>
  <si>
    <t>9000000000019</t>
  </si>
  <si>
    <t>MP MANTEIGA</t>
  </si>
  <si>
    <t>69</t>
  </si>
  <si>
    <t>9000000000070</t>
  </si>
  <si>
    <t>MP MARGARINA</t>
  </si>
  <si>
    <t>70</t>
  </si>
  <si>
    <t>7891152500868 9000000000071</t>
  </si>
  <si>
    <t>MP MOLHO PARA CAMARAO</t>
  </si>
  <si>
    <t>71</t>
  </si>
  <si>
    <t>9000000000072</t>
  </si>
  <si>
    <t>MP MORTADELA</t>
  </si>
  <si>
    <t>72</t>
  </si>
  <si>
    <t>9000000000073</t>
  </si>
  <si>
    <t>MP OLEO 900ML</t>
  </si>
  <si>
    <t>73</t>
  </si>
  <si>
    <t>7891107101621 9000000000074</t>
  </si>
  <si>
    <t>MP OVO GALINHA</t>
  </si>
  <si>
    <t>(2.1) MP  -  ALIMENTOS|(2.1.1) | OVOS</t>
  </si>
  <si>
    <t>3</t>
  </si>
  <si>
    <t>9000000000004</t>
  </si>
  <si>
    <t>MP PAO DE FORMA</t>
  </si>
  <si>
    <t>75</t>
  </si>
  <si>
    <t>7891962064048 7896002306348 9000000000076</t>
  </si>
  <si>
    <t>MP PAO DE FORMA INTEGRAL</t>
  </si>
  <si>
    <t>76</t>
  </si>
  <si>
    <t>7896002300155 9000000000077</t>
  </si>
  <si>
    <t>MP PAO DE QUEIJO</t>
  </si>
  <si>
    <t>235</t>
  </si>
  <si>
    <t>17899759407310 9000000000236</t>
  </si>
  <si>
    <t>MP PAO FRANCES (G)</t>
  </si>
  <si>
    <t>4</t>
  </si>
  <si>
    <t>9000000000005</t>
  </si>
  <si>
    <t>78</t>
  </si>
  <si>
    <t>9000000000079</t>
  </si>
  <si>
    <t>MP PIMENTA BIQUINHO 2K</t>
  </si>
  <si>
    <t>79</t>
  </si>
  <si>
    <t>7898343429694 9000000000080</t>
  </si>
  <si>
    <t>MP PIMENTA DE CHEIRO</t>
  </si>
  <si>
    <t>80</t>
  </si>
  <si>
    <t>2000000000018 9000000000081</t>
  </si>
  <si>
    <t>MP PIMENTA DO REINO</t>
  </si>
  <si>
    <t>81</t>
  </si>
  <si>
    <t>9000000000082</t>
  </si>
  <si>
    <t>MP PIMENTAO</t>
  </si>
  <si>
    <t>19</t>
  </si>
  <si>
    <t>2000000000016 9000000000020</t>
  </si>
  <si>
    <t>MP PO DE CHOCOLATE QUENTE TRES CORACOES</t>
  </si>
  <si>
    <t>82</t>
  </si>
  <si>
    <t>9000000000083</t>
  </si>
  <si>
    <t>MP PRESUNTO</t>
  </si>
  <si>
    <t>5</t>
  </si>
  <si>
    <t>9000000000006</t>
  </si>
  <si>
    <t>MP QUEIJO COALHO</t>
  </si>
  <si>
    <t>(2.1) MP  -  ALIMENTOS|(2.1.1) | QUEIJOS</t>
  </si>
  <si>
    <t>84</t>
  </si>
  <si>
    <t>9000000000085</t>
  </si>
  <si>
    <t>MP QUEIJO DO REINO</t>
  </si>
  <si>
    <t>85</t>
  </si>
  <si>
    <t>7896926701281 9000000000086</t>
  </si>
  <si>
    <t>MP QUEIJO MUCARELA</t>
  </si>
  <si>
    <t>6</t>
  </si>
  <si>
    <t>9000000000007</t>
  </si>
  <si>
    <t>87</t>
  </si>
  <si>
    <t>7898920160903 9000000000088</t>
  </si>
  <si>
    <t>MP REQUEIJAO</t>
  </si>
  <si>
    <t>88</t>
  </si>
  <si>
    <t>7891999010155 7896030521362 9000000000089</t>
  </si>
  <si>
    <t>MP REQUEIJAO GOUMERT</t>
  </si>
  <si>
    <t>89</t>
  </si>
  <si>
    <t>7896662003250 7896662009832 9000000000090</t>
  </si>
  <si>
    <t>MP SAL</t>
  </si>
  <si>
    <t>90</t>
  </si>
  <si>
    <t>9000000000091</t>
  </si>
  <si>
    <t>MP SALSICHA</t>
  </si>
  <si>
    <t>91</t>
  </si>
  <si>
    <t>7891515220983 9000000000092</t>
  </si>
  <si>
    <t>MP SAZON CALDO</t>
  </si>
  <si>
    <t>92</t>
  </si>
  <si>
    <t>9000000000093</t>
  </si>
  <si>
    <t>MP TOMATE</t>
  </si>
  <si>
    <t>7</t>
  </si>
  <si>
    <t>2000000000003 9000000000008</t>
  </si>
  <si>
    <t>MT AGUA SANITARIA 1L</t>
  </si>
  <si>
    <t>(3) MT  -  MATERIAIS|(3.1) MT | MATERIAIS LIMPEZA</t>
  </si>
  <si>
    <t>903</t>
  </si>
  <si>
    <t>7896221600012</t>
  </si>
  <si>
    <t>MT ALCOOL 70 1L</t>
  </si>
  <si>
    <t>900</t>
  </si>
  <si>
    <t>7896215301765</t>
  </si>
  <si>
    <t>MT AROMATIZANTE</t>
  </si>
  <si>
    <t>839</t>
  </si>
  <si>
    <t>7899674036209</t>
  </si>
  <si>
    <t>MT BOB EXTRA 5KG (35X50)</t>
  </si>
  <si>
    <t>905</t>
  </si>
  <si>
    <t>7898959137143</t>
  </si>
  <si>
    <t>MT BOB TERMICA 80X40</t>
  </si>
  <si>
    <t>906</t>
  </si>
  <si>
    <t>9000000000777</t>
  </si>
  <si>
    <t>MT COLHER DE MESA</t>
  </si>
  <si>
    <t>(4) MT  -  REPOSICOES|(4.1) MT | TALHERES / PRATARIA</t>
  </si>
  <si>
    <t>PC</t>
  </si>
  <si>
    <t>834</t>
  </si>
  <si>
    <t>7896502808410</t>
  </si>
  <si>
    <t>MT COLHER SOBREMESA BRANCA PCT</t>
  </si>
  <si>
    <t>(3) MT  -  MATERIAIS|(3.1) MT | MATERIAIS DESCARTAVEIS</t>
  </si>
  <si>
    <t>SC</t>
  </si>
  <si>
    <t>788</t>
  </si>
  <si>
    <t>7898339100514</t>
  </si>
  <si>
    <t>MT COPO DESC 150ML</t>
  </si>
  <si>
    <t>825</t>
  </si>
  <si>
    <t>7898302980105</t>
  </si>
  <si>
    <t>MT COPO DESC 300ML</t>
  </si>
  <si>
    <t>824</t>
  </si>
  <si>
    <t>9000000000748</t>
  </si>
  <si>
    <t>MT DESINFETANTE 5L</t>
  </si>
  <si>
    <t>910</t>
  </si>
  <si>
    <t>9000000000779</t>
  </si>
  <si>
    <t>MT DETERGENTE NEUTRO 500ML</t>
  </si>
  <si>
    <t>823</t>
  </si>
  <si>
    <t>7896098900208 9000000000747</t>
  </si>
  <si>
    <t>MT EMB G641 GALVANOTEK</t>
  </si>
  <si>
    <t>110</t>
  </si>
  <si>
    <t>9000000000111</t>
  </si>
  <si>
    <t>MT EMB H03 PASSAPORTE</t>
  </si>
  <si>
    <t>872</t>
  </si>
  <si>
    <t>17898302983516</t>
  </si>
  <si>
    <t>MT EMB ULTRA M65 900ML</t>
  </si>
  <si>
    <t>792</t>
  </si>
  <si>
    <t>7898302983472</t>
  </si>
  <si>
    <t>MT EPI SANDALIA BB60</t>
  </si>
  <si>
    <t>789</t>
  </si>
  <si>
    <t>7899367848157</t>
  </si>
  <si>
    <t>MT ESPONJA DE ACO</t>
  </si>
  <si>
    <t>871</t>
  </si>
  <si>
    <t>9000000000776</t>
  </si>
  <si>
    <t>MT ESPONJA MULTIUSO</t>
  </si>
  <si>
    <t>901</t>
  </si>
  <si>
    <t>7908057013062</t>
  </si>
  <si>
    <t>MT FACA DE CHURRASCO</t>
  </si>
  <si>
    <t>(4) MT  -  REPOSICOES|(4.1) MT | UTENSILIOS</t>
  </si>
  <si>
    <t>833</t>
  </si>
  <si>
    <t>7896502808496</t>
  </si>
  <si>
    <t>MT G-FOOD 5L DESINCRUSTANTE</t>
  </si>
  <si>
    <t>909</t>
  </si>
  <si>
    <t>17898937903101</t>
  </si>
  <si>
    <t>MT GARFO DE MESA</t>
  </si>
  <si>
    <t>832</t>
  </si>
  <si>
    <t>9000000000753</t>
  </si>
  <si>
    <t>MT GARRAFA 1L</t>
  </si>
  <si>
    <t>501</t>
  </si>
  <si>
    <t>9000000000563</t>
  </si>
  <si>
    <t>MT GARRAFA 500ML</t>
  </si>
  <si>
    <t>503</t>
  </si>
  <si>
    <t>4013552001025 9000000000564</t>
  </si>
  <si>
    <t>MT GAS GLP</t>
  </si>
  <si>
    <t>852</t>
  </si>
  <si>
    <t>000000000000096809</t>
  </si>
  <si>
    <t>MT GUARDANAPO 22X20</t>
  </si>
  <si>
    <t>902</t>
  </si>
  <si>
    <t>7898962583746</t>
  </si>
  <si>
    <t>MT KETCHUP HELLMANNS SACHE CX</t>
  </si>
  <si>
    <t>785</t>
  </si>
  <si>
    <t>67891150057601</t>
  </si>
  <si>
    <t>MT LUVA VINIL (M) S/AMIDO</t>
  </si>
  <si>
    <t>873</t>
  </si>
  <si>
    <t>7908840300300</t>
  </si>
  <si>
    <t>MT MAIONESE HELLMANNS SACHE CX</t>
  </si>
  <si>
    <t>783</t>
  </si>
  <si>
    <t>67891150057588</t>
  </si>
  <si>
    <t>MT MOSTARDA HELLMANNS SACHE CX</t>
  </si>
  <si>
    <t>784</t>
  </si>
  <si>
    <t>7891150057562</t>
  </si>
  <si>
    <t>MT MULTIUSO 500ML</t>
  </si>
  <si>
    <t>817</t>
  </si>
  <si>
    <t>7891035800214 7896013102885 7897534800212</t>
  </si>
  <si>
    <t>MT ODORIZADOR</t>
  </si>
  <si>
    <t>875</t>
  </si>
  <si>
    <t>7898374662428 7898374664286</t>
  </si>
  <si>
    <t>MT PANO ALVEJADO</t>
  </si>
  <si>
    <t>874</t>
  </si>
  <si>
    <t>7898929618016</t>
  </si>
  <si>
    <t>MT PANO MULTIUSO PERFECT</t>
  </si>
  <si>
    <t>790</t>
  </si>
  <si>
    <t>7898948470558 7898964629381</t>
  </si>
  <si>
    <t>MT PAP ALUMINIO</t>
  </si>
  <si>
    <t>838</t>
  </si>
  <si>
    <t>7898905347015</t>
  </si>
  <si>
    <t>MT PAPEL HIGIENICO EM ROLO 8X300M</t>
  </si>
  <si>
    <t>908</t>
  </si>
  <si>
    <t>17896770903166</t>
  </si>
  <si>
    <t>MT POLIDOR ALUM 500ML</t>
  </si>
  <si>
    <t>760</t>
  </si>
  <si>
    <t>7898174179041 7898592806048</t>
  </si>
  <si>
    <t>MT SABAO EM PO</t>
  </si>
  <si>
    <t>876</t>
  </si>
  <si>
    <t>7898031174660</t>
  </si>
  <si>
    <t>MT SACO PAPEL KRAFT 2KG</t>
  </si>
  <si>
    <t>835</t>
  </si>
  <si>
    <t>7897120700049</t>
  </si>
  <si>
    <t>MT SACO PRETO LIXO 80X100X13</t>
  </si>
  <si>
    <t>837</t>
  </si>
  <si>
    <t>7898964697151</t>
  </si>
  <si>
    <t>MT SACOLA BRANCA TP1 40X50 PC/5KG</t>
  </si>
  <si>
    <t>836</t>
  </si>
  <si>
    <t>7898648119603</t>
  </si>
  <si>
    <t>MT SACOLA LIXO 80X100X13</t>
  </si>
  <si>
    <t>904</t>
  </si>
  <si>
    <t>7898610800683</t>
  </si>
  <si>
    <t>MT TAMPA P/SOBRETAMPA M32 M50 M65</t>
  </si>
  <si>
    <t>791</t>
  </si>
  <si>
    <t>7898302984943</t>
  </si>
  <si>
    <t>NATURAL DE FRANGO</t>
  </si>
  <si>
    <t>138</t>
  </si>
  <si>
    <t>9000000000139</t>
  </si>
  <si>
    <t>NESCAU 180ML</t>
  </si>
  <si>
    <t>486</t>
  </si>
  <si>
    <t>7891000359822</t>
  </si>
  <si>
    <t>NESCAU 270ML</t>
  </si>
  <si>
    <t>476</t>
  </si>
  <si>
    <t>7891000101926 9000000000551</t>
  </si>
  <si>
    <t>NESCAU BALLC 75G</t>
  </si>
  <si>
    <t>556</t>
  </si>
  <si>
    <t>7891000338285</t>
  </si>
  <si>
    <t>NESTON 280ML</t>
  </si>
  <si>
    <t>481</t>
  </si>
  <si>
    <t>7891000090732 9000000000556</t>
  </si>
  <si>
    <t>NUTELLA B READY 22G</t>
  </si>
  <si>
    <t>431</t>
  </si>
  <si>
    <t>7898024397915 9000000000432</t>
  </si>
  <si>
    <t>OMELETE CARNE DO SOL</t>
  </si>
  <si>
    <t>137</t>
  </si>
  <si>
    <t>9000000000138</t>
  </si>
  <si>
    <t>OMELETE DE FRANGO</t>
  </si>
  <si>
    <t>182</t>
  </si>
  <si>
    <t>9000000000183</t>
  </si>
  <si>
    <t>OMELETE DE QUEIJO COALHO</t>
  </si>
  <si>
    <t>183</t>
  </si>
  <si>
    <t>9000000000184</t>
  </si>
  <si>
    <t>OMELETE MISTO</t>
  </si>
  <si>
    <t>185</t>
  </si>
  <si>
    <t>9000000000186</t>
  </si>
  <si>
    <t>OVO NA CHAPA</t>
  </si>
  <si>
    <t>186</t>
  </si>
  <si>
    <t>9000000000187</t>
  </si>
  <si>
    <t>P. COXINHA CARNE DO SOL</t>
  </si>
  <si>
    <t>(9) PP  -  PRODUTOS PRODUZIDOS|(9.1) PP | PRODUTOS PRODUZIDOS  (FICHA)</t>
  </si>
  <si>
    <t>231</t>
  </si>
  <si>
    <t>9000000000232</t>
  </si>
  <si>
    <t>P. COXINHA CHARQUE C/ CHEDDAR</t>
  </si>
  <si>
    <t>233</t>
  </si>
  <si>
    <t>9000000000234</t>
  </si>
  <si>
    <t>P. COXINHA FRANGO CATUPIRY UND</t>
  </si>
  <si>
    <t>229</t>
  </si>
  <si>
    <t>9000000000230</t>
  </si>
  <si>
    <t>P. COXINHA FRANGO UND</t>
  </si>
  <si>
    <t>227</t>
  </si>
  <si>
    <t>9000000000228</t>
  </si>
  <si>
    <t>135</t>
  </si>
  <si>
    <t>9000000000136</t>
  </si>
  <si>
    <t>P. FATIA PUDIM</t>
  </si>
  <si>
    <t>220</t>
  </si>
  <si>
    <t>9000000000221</t>
  </si>
  <si>
    <t>P. FATIA TORTA DE LIMAO</t>
  </si>
  <si>
    <t>257</t>
  </si>
  <si>
    <t>9000000000258</t>
  </si>
  <si>
    <t>P. MASSA CIGARRETE UND</t>
  </si>
  <si>
    <t>239</t>
  </si>
  <si>
    <t>9000000000240</t>
  </si>
  <si>
    <t>P. MASSA COXINHA UND</t>
  </si>
  <si>
    <t>224</t>
  </si>
  <si>
    <t>9000000000225</t>
  </si>
  <si>
    <t>P. MASSA EMPADA UN</t>
  </si>
  <si>
    <t>170</t>
  </si>
  <si>
    <t>9000000000171</t>
  </si>
  <si>
    <t>P. MASSA PAO PIZZA</t>
  </si>
  <si>
    <t>243</t>
  </si>
  <si>
    <t>9000000000244</t>
  </si>
  <si>
    <t>P. MASSA PASTEL KG</t>
  </si>
  <si>
    <t>191</t>
  </si>
  <si>
    <t>9000000000192</t>
  </si>
  <si>
    <t>P. MASSA TORTILETE</t>
  </si>
  <si>
    <t>259</t>
  </si>
  <si>
    <t>9000000000260</t>
  </si>
  <si>
    <t>P. MINI TORTA DE CHOCOLATE RECHEADA</t>
  </si>
  <si>
    <t>256</t>
  </si>
  <si>
    <t>9000000000257</t>
  </si>
  <si>
    <t>P. PORCAO DE BATATA FRITAS 120G</t>
  </si>
  <si>
    <t>161</t>
  </si>
  <si>
    <t>9000000000162</t>
  </si>
  <si>
    <t>P. PORCAO DE BATATA FRITAS 150G</t>
  </si>
  <si>
    <t>731</t>
  </si>
  <si>
    <t>9000000000680</t>
  </si>
  <si>
    <t>P. PORCAO DE FEIJAO CASEIRO 150G</t>
  </si>
  <si>
    <t>156</t>
  </si>
  <si>
    <t>9000000000157</t>
  </si>
  <si>
    <t>P. PORCAO DE FEIJAO TROPEIRO 150G</t>
  </si>
  <si>
    <t>154</t>
  </si>
  <si>
    <t>9000000000155</t>
  </si>
  <si>
    <t>P. PORCAO DE MOLHO DE TOMATE 100G</t>
  </si>
  <si>
    <t>145</t>
  </si>
  <si>
    <t>9000000000146</t>
  </si>
  <si>
    <t>P. PORCAO DE PURE 200G</t>
  </si>
  <si>
    <t>164</t>
  </si>
  <si>
    <t>9000000000165</t>
  </si>
  <si>
    <t>PALHA ITALIANA NINHO C/ NUTELLA</t>
  </si>
  <si>
    <t>701</t>
  </si>
  <si>
    <t>070341881262 70341881262 9000000000650</t>
  </si>
  <si>
    <t>PANO DE PRATO</t>
  </si>
  <si>
    <t>816</t>
  </si>
  <si>
    <t>9000000000742</t>
  </si>
  <si>
    <t>PAO COM MANTEIGA NA CHAPA</t>
  </si>
  <si>
    <t>187</t>
  </si>
  <si>
    <t>9000000000188</t>
  </si>
  <si>
    <t>PAO COM OVO NA CHAPA</t>
  </si>
  <si>
    <t>188</t>
  </si>
  <si>
    <t>9000000000189</t>
  </si>
  <si>
    <t>PAO DE QUEIJO</t>
  </si>
  <si>
    <t>236</t>
  </si>
  <si>
    <t>9000000000237</t>
  </si>
  <si>
    <t>PAO FRANCES</t>
  </si>
  <si>
    <t>843</t>
  </si>
  <si>
    <t>9000000000755</t>
  </si>
  <si>
    <t>PAO PIZZA CALABRESA</t>
  </si>
  <si>
    <t>245</t>
  </si>
  <si>
    <t>9000000000246</t>
  </si>
  <si>
    <t>PAO PIZZA CARNE MOIDA</t>
  </si>
  <si>
    <t>547</t>
  </si>
  <si>
    <t>9000000000565</t>
  </si>
  <si>
    <t>PAO PIZZA FRANGO CATUPIRY</t>
  </si>
  <si>
    <t>559</t>
  </si>
  <si>
    <t>9000000000567</t>
  </si>
  <si>
    <t>PAO PIZZA MISTO</t>
  </si>
  <si>
    <t>244</t>
  </si>
  <si>
    <t>9000000000245</t>
  </si>
  <si>
    <t>PAPEL TOALHA ROLO</t>
  </si>
  <si>
    <t>821</t>
  </si>
  <si>
    <t>7898962583050 7898969564298</t>
  </si>
  <si>
    <t>PAPELITO BROWN MINI SIZE</t>
  </si>
  <si>
    <t>717</t>
  </si>
  <si>
    <t>7898950283061 9000000000666</t>
  </si>
  <si>
    <t>PAPELITO MINI SIZE</t>
  </si>
  <si>
    <t>718</t>
  </si>
  <si>
    <t>7898950283030 9000000000667</t>
  </si>
  <si>
    <t>PARMEGIANA DE BOI</t>
  </si>
  <si>
    <t>189</t>
  </si>
  <si>
    <t>9000000000190</t>
  </si>
  <si>
    <t>PARMEGIANA DE FRANGO</t>
  </si>
  <si>
    <t>190</t>
  </si>
  <si>
    <t>9000000000191</t>
  </si>
  <si>
    <t>PASTEL DE CAMARAO</t>
  </si>
  <si>
    <t>192</t>
  </si>
  <si>
    <t>9000000000193</t>
  </si>
  <si>
    <t>PASTEL DE CARNE DE SOL</t>
  </si>
  <si>
    <t>193</t>
  </si>
  <si>
    <t>9000000000194</t>
  </si>
  <si>
    <t>PASTEL DE FRANGO</t>
  </si>
  <si>
    <t>194</t>
  </si>
  <si>
    <t>9000000000195</t>
  </si>
  <si>
    <t>PASTEL DE QUEIJO</t>
  </si>
  <si>
    <t>195</t>
  </si>
  <si>
    <t>9000000000196</t>
  </si>
  <si>
    <t>PASTEL MISTO</t>
  </si>
  <si>
    <t>196</t>
  </si>
  <si>
    <t>9000000000197</t>
  </si>
  <si>
    <t>419</t>
  </si>
  <si>
    <t>78910041 9000000000420</t>
  </si>
  <si>
    <t>PAÇOCA 15G</t>
  </si>
  <si>
    <t>763</t>
  </si>
  <si>
    <t>17896336005914 7896336005917</t>
  </si>
  <si>
    <t>PIC BOM BOM MAGNUM PISTACHE 85G</t>
  </si>
  <si>
    <t>800</t>
  </si>
  <si>
    <t>8721274700145 9000000000736</t>
  </si>
  <si>
    <t>PIC MONOBITES MAGNUM COOKIES 85G</t>
  </si>
  <si>
    <t>621</t>
  </si>
  <si>
    <t>8721274700152</t>
  </si>
  <si>
    <t>PIC MONOBITES MAGNUM PISTACHE 77G</t>
  </si>
  <si>
    <t>622</t>
  </si>
  <si>
    <t>9000000000737</t>
  </si>
  <si>
    <t>PIC PALETA DE CHOCOLATE C TRUFAS 80G</t>
  </si>
  <si>
    <t>627</t>
  </si>
  <si>
    <t>7898965875060</t>
  </si>
  <si>
    <t>PIC PALETA MARACUJA C LEITE COND 80G</t>
  </si>
  <si>
    <t>628</t>
  </si>
  <si>
    <t>7898965875084</t>
  </si>
  <si>
    <t>PIC PALETA MORANGO C LEITE COND 80G</t>
  </si>
  <si>
    <t>630</t>
  </si>
  <si>
    <t>7898965875091</t>
  </si>
  <si>
    <t>PIC PALETA NINHO COM TRUFAS 80G</t>
  </si>
  <si>
    <t>633</t>
  </si>
  <si>
    <t>7898965875107</t>
  </si>
  <si>
    <t>PILHA DURACELL A23</t>
  </si>
  <si>
    <t>750</t>
  </si>
  <si>
    <t>9000000000701</t>
  </si>
  <si>
    <t>PILHA DURACELL AA</t>
  </si>
  <si>
    <t>751</t>
  </si>
  <si>
    <t>041333001005 41333001005 9000000000702</t>
  </si>
  <si>
    <t>PILHA DURACELL AAA</t>
  </si>
  <si>
    <t>752</t>
  </si>
  <si>
    <t>041333001074 41333001074 9000000000703</t>
  </si>
  <si>
    <t>PILHA DURACELL CR2032</t>
  </si>
  <si>
    <t>754</t>
  </si>
  <si>
    <t>041333038216 9000000000705</t>
  </si>
  <si>
    <t>PIPOCA SALGADA BOKUS 45G</t>
  </si>
  <si>
    <t>805</t>
  </si>
  <si>
    <t>7896278301900</t>
  </si>
  <si>
    <t>PIRULITO CABECAO DIVERÇOS</t>
  </si>
  <si>
    <t>730</t>
  </si>
  <si>
    <t>9000000000679</t>
  </si>
  <si>
    <t>PIRULITO SABOR DIVERSOS</t>
  </si>
  <si>
    <t>729</t>
  </si>
  <si>
    <t>9000000000678</t>
  </si>
  <si>
    <t>PITEIRA BEM BOLADO BROW</t>
  </si>
  <si>
    <t>715</t>
  </si>
  <si>
    <t>040232780936 9000000000664</t>
  </si>
  <si>
    <t>PL K ABACAXI</t>
  </si>
  <si>
    <t>689</t>
  </si>
  <si>
    <t>9000000000637</t>
  </si>
  <si>
    <t>PL K BOM COCO E CHOCOLATE</t>
  </si>
  <si>
    <t>643</t>
  </si>
  <si>
    <t>7891150087781</t>
  </si>
  <si>
    <t>PL K BOM EXPECTO PATRONUM</t>
  </si>
  <si>
    <t>688</t>
  </si>
  <si>
    <t>8721274700312 9000000000636</t>
  </si>
  <si>
    <t>PL K BRIGADEIRO</t>
  </si>
  <si>
    <t>687</t>
  </si>
  <si>
    <t>7891075403192 9000000000635</t>
  </si>
  <si>
    <t>PL K CHICABON</t>
  </si>
  <si>
    <t>686</t>
  </si>
  <si>
    <t>7891075030091 9000000000634</t>
  </si>
  <si>
    <t>PL K CHICABON ZERO</t>
  </si>
  <si>
    <t>685</t>
  </si>
  <si>
    <t>7891150068544 9000000000633</t>
  </si>
  <si>
    <t>PL K ESKI BON BOMBOM GELADO</t>
  </si>
  <si>
    <t>684</t>
  </si>
  <si>
    <t>7891075080218 9000000000632</t>
  </si>
  <si>
    <t>PL K FRUTILLY CHICLETE</t>
  </si>
  <si>
    <t>683</t>
  </si>
  <si>
    <t>8721274701753 9000000000631</t>
  </si>
  <si>
    <t>PL K FRUTILLY MORANGO</t>
  </si>
  <si>
    <t>682</t>
  </si>
  <si>
    <t>7891150007680 9000000000630</t>
  </si>
  <si>
    <t>PL K FRUTILLY TANGERINA</t>
  </si>
  <si>
    <t>681</t>
  </si>
  <si>
    <t>8721274701760 9000000000629</t>
  </si>
  <si>
    <t>PL K FRUTTARE CAJA</t>
  </si>
  <si>
    <t>680</t>
  </si>
  <si>
    <t>7891157010737 9000000000628</t>
  </si>
  <si>
    <t>PL K FRUTTARE COCO</t>
  </si>
  <si>
    <t>679</t>
  </si>
  <si>
    <t>7891075020023 9000000000627</t>
  </si>
  <si>
    <t>PL K FRUTTARE LIMAO</t>
  </si>
  <si>
    <t>678</t>
  </si>
  <si>
    <t>7891075010161 9000000000626</t>
  </si>
  <si>
    <t>PL K FRUTTARE MORANGO</t>
  </si>
  <si>
    <t>677</t>
  </si>
  <si>
    <t>7891150054943 7891150094321 9000000000625</t>
  </si>
  <si>
    <t>PL K GUARANA</t>
  </si>
  <si>
    <t>676</t>
  </si>
  <si>
    <t>8721274702378 9000000000624</t>
  </si>
  <si>
    <t>PL K HARRY POTTER SABORES</t>
  </si>
  <si>
    <t>675</t>
  </si>
  <si>
    <t>8721274701081 9000000000623</t>
  </si>
  <si>
    <t>PL K KIBON FRUTTARE UVA</t>
  </si>
  <si>
    <t>674</t>
  </si>
  <si>
    <t>7891075010130 9000000000622</t>
  </si>
  <si>
    <t>PL K MAGNUM AMENDOAS</t>
  </si>
  <si>
    <t>673</t>
  </si>
  <si>
    <t>7891150022348 9000000000621</t>
  </si>
  <si>
    <t>PL K MAGNUM BRANCO</t>
  </si>
  <si>
    <t>672</t>
  </si>
  <si>
    <t>7891150023093 9000000000620</t>
  </si>
  <si>
    <t>PL K MAGNUM CHOCOLATE ZERO</t>
  </si>
  <si>
    <t>671</t>
  </si>
  <si>
    <t>7891150081963 9000000000619</t>
  </si>
  <si>
    <t>PL K MAGNUM CLASSICO</t>
  </si>
  <si>
    <t>670</t>
  </si>
  <si>
    <t>7891075403215 9000000000618</t>
  </si>
  <si>
    <t>PL K MAGNUM COOKIES E CREAM</t>
  </si>
  <si>
    <t>669</t>
  </si>
  <si>
    <t>7891150041042 9000000000617</t>
  </si>
  <si>
    <t>PL K MAGNUM PISTACHE 64G</t>
  </si>
  <si>
    <t>668</t>
  </si>
  <si>
    <t>7891150100053 9000000000616</t>
  </si>
  <si>
    <t>PL K MAGNUM PRALINE 69G</t>
  </si>
  <si>
    <t>667</t>
  </si>
  <si>
    <t>7891150064904 9000000000615</t>
  </si>
  <si>
    <t>PL K NUT TABLITO MAX AVELA 64G</t>
  </si>
  <si>
    <t>666</t>
  </si>
  <si>
    <t>7891150089051 9000000000614</t>
  </si>
  <si>
    <t>PL K TABLITO</t>
  </si>
  <si>
    <t>665</t>
  </si>
  <si>
    <t>7891075060210 9000000000613</t>
  </si>
  <si>
    <t>PL K TABLITO 3 CHOCOLATE</t>
  </si>
  <si>
    <t>664</t>
  </si>
  <si>
    <t>7891150099937 9000000000612</t>
  </si>
  <si>
    <t>PLANT POWER PROTEIN BANANA/ MORANGO 250ML</t>
  </si>
  <si>
    <t>471</t>
  </si>
  <si>
    <t>7898692301962 9000000000546</t>
  </si>
  <si>
    <t>PLANT POWER PROTEIN CHOCOLATE 250ML</t>
  </si>
  <si>
    <t>473</t>
  </si>
  <si>
    <t>7898692301948 9000000000548</t>
  </si>
  <si>
    <t>PM BIFE CONTRA FILE</t>
  </si>
  <si>
    <t>10</t>
  </si>
  <si>
    <t>9000000000011</t>
  </si>
  <si>
    <t>PM CUBOS CONTRA FILE</t>
  </si>
  <si>
    <t>11</t>
  </si>
  <si>
    <t>9000000000012</t>
  </si>
  <si>
    <t>PO CHOCOLATE QUENTE 3CORACOES 20G</t>
  </si>
  <si>
    <t>797</t>
  </si>
  <si>
    <t>7896045112579 9000000000732</t>
  </si>
  <si>
    <t>POLPA ABACAXI</t>
  </si>
  <si>
    <t>(1) MV  -  CARDAPIO|(1.1) MV | COMP POLPAS SABORES</t>
  </si>
  <si>
    <t>829</t>
  </si>
  <si>
    <t>9000000000750</t>
  </si>
  <si>
    <t>POLPA ABACAXI C/ HORTELA</t>
  </si>
  <si>
    <t>(2.1) MP  -  ALIMENTOS|(2.1.1) | POLPAS CONGELADAS</t>
  </si>
  <si>
    <t>828</t>
  </si>
  <si>
    <t>9000000000749</t>
  </si>
  <si>
    <t>POLPA ACEROLA</t>
  </si>
  <si>
    <t>268</t>
  </si>
  <si>
    <t>9000000000269</t>
  </si>
  <si>
    <t>POLPA CAJA</t>
  </si>
  <si>
    <t>269</t>
  </si>
  <si>
    <t>9000000000270</t>
  </si>
  <si>
    <t>POLPA CAJU</t>
  </si>
  <si>
    <t>776</t>
  </si>
  <si>
    <t>9000000000722</t>
  </si>
  <si>
    <t>POLPA GOIABA</t>
  </si>
  <si>
    <t>786</t>
  </si>
  <si>
    <t>9000000000727</t>
  </si>
  <si>
    <t>POLPA GRAVIOLA</t>
  </si>
  <si>
    <t>757</t>
  </si>
  <si>
    <t>9000000000708</t>
  </si>
  <si>
    <t>POLPA MANGA</t>
  </si>
  <si>
    <t>267</t>
  </si>
  <si>
    <t>9000000000268</t>
  </si>
  <si>
    <t>POLPA MANGABA</t>
  </si>
  <si>
    <t>758</t>
  </si>
  <si>
    <t>9000000000709</t>
  </si>
  <si>
    <t>POLPA MARACUJA</t>
  </si>
  <si>
    <t>266</t>
  </si>
  <si>
    <t>9000000000267</t>
  </si>
  <si>
    <t>POLPA MORANGO</t>
  </si>
  <si>
    <t>265</t>
  </si>
  <si>
    <t>9000000000266</t>
  </si>
  <si>
    <t>POLPA UVA</t>
  </si>
  <si>
    <t>756</t>
  </si>
  <si>
    <t>9000000000707</t>
  </si>
  <si>
    <t>PORCAO DE BATATA FRITAS 120G</t>
  </si>
  <si>
    <t>162</t>
  </si>
  <si>
    <t>9000000000163</t>
  </si>
  <si>
    <t>PORCAO DE BATATA FRITAS 150G</t>
  </si>
  <si>
    <t>732</t>
  </si>
  <si>
    <t>9000000000681</t>
  </si>
  <si>
    <t>PORCAO DE CARNE BOVINA 150G</t>
  </si>
  <si>
    <t>201</t>
  </si>
  <si>
    <t>9000000000202</t>
  </si>
  <si>
    <t>PORCAO DE CARNE DO SOL 150G</t>
  </si>
  <si>
    <t>202</t>
  </si>
  <si>
    <t>9000000000203</t>
  </si>
  <si>
    <t>PORCAO DE CARNE DO SOL 75G</t>
  </si>
  <si>
    <t>203</t>
  </si>
  <si>
    <t>9000000000204</t>
  </si>
  <si>
    <t>PORCAO DE CARNE MOIDA 170G</t>
  </si>
  <si>
    <t>204</t>
  </si>
  <si>
    <t>9000000000205</t>
  </si>
  <si>
    <t>PORCAO DE CHARQUE 150G</t>
  </si>
  <si>
    <t>205</t>
  </si>
  <si>
    <t>9000000000206</t>
  </si>
  <si>
    <t>PORCAO DE ESTROGONOFF DE FRANGO</t>
  </si>
  <si>
    <t>206</t>
  </si>
  <si>
    <t>9000000000207</t>
  </si>
  <si>
    <t>PORCAO DE FEIJAO CASEIRO 150G</t>
  </si>
  <si>
    <t>159</t>
  </si>
  <si>
    <t>9000000000160</t>
  </si>
  <si>
    <t>PORCAO DE FEIJAO TROPEIRO 150G</t>
  </si>
  <si>
    <t>155</t>
  </si>
  <si>
    <t>9000000000156</t>
  </si>
  <si>
    <t>PORCAO DE FILE DE TILAPIA 150G</t>
  </si>
  <si>
    <t>207</t>
  </si>
  <si>
    <t>9000000000208</t>
  </si>
  <si>
    <t>PORCAO DE FLOCAO DE MILHO 100G</t>
  </si>
  <si>
    <t>208</t>
  </si>
  <si>
    <t>9000000000209</t>
  </si>
  <si>
    <t>PORCAO DE FRANGO 200G</t>
  </si>
  <si>
    <t>209</t>
  </si>
  <si>
    <t>9000000000210</t>
  </si>
  <si>
    <t>PORCAO DE GOMA DE TAPIOCA 100G</t>
  </si>
  <si>
    <t>211</t>
  </si>
  <si>
    <t>9000000000212</t>
  </si>
  <si>
    <t>PORCAO DE ISCA DE TILAPIA</t>
  </si>
  <si>
    <t>212</t>
  </si>
  <si>
    <t>9000000000213</t>
  </si>
  <si>
    <t>PORCAO DE MACARRAO 250G</t>
  </si>
  <si>
    <t>213</t>
  </si>
  <si>
    <t>9000000000214</t>
  </si>
  <si>
    <t>PORCAO DE MACAXEIRA 300G</t>
  </si>
  <si>
    <t>214</t>
  </si>
  <si>
    <t>9000000000215</t>
  </si>
  <si>
    <t>PORCAO DE PURE 200G</t>
  </si>
  <si>
    <t>165</t>
  </si>
  <si>
    <t>9000000000166</t>
  </si>
  <si>
    <t>PORCAO DE QUEIJO COALHO 120G</t>
  </si>
  <si>
    <t>215</t>
  </si>
  <si>
    <t>9000000000216</t>
  </si>
  <si>
    <t>PORCAO DE QUEIJO MUCARELA 15G</t>
  </si>
  <si>
    <t>216</t>
  </si>
  <si>
    <t>9000000000217</t>
  </si>
  <si>
    <t>PORCAO DE SALADA CRUA 150G</t>
  </si>
  <si>
    <t>217</t>
  </si>
  <si>
    <t>9000000000218</t>
  </si>
  <si>
    <t>PORCAO DE SALSICHA 150G</t>
  </si>
  <si>
    <t>218</t>
  </si>
  <si>
    <t>9000000000219</t>
  </si>
  <si>
    <t>PORCAO DE TORRADA</t>
  </si>
  <si>
    <t>219</t>
  </si>
  <si>
    <t>9000000000220</t>
  </si>
  <si>
    <t>POWER PROTEIN CARAMELO 250ML</t>
  </si>
  <si>
    <t>472</t>
  </si>
  <si>
    <t>7898692301955 9000000000547</t>
  </si>
  <si>
    <t>PRINGLES CREME CEBOLA 109G</t>
  </si>
  <si>
    <t>808</t>
  </si>
  <si>
    <t>7896004006239</t>
  </si>
  <si>
    <t>PRINGLES ORIGINAL 104G</t>
  </si>
  <si>
    <t>809</t>
  </si>
  <si>
    <t>7896004006277</t>
  </si>
  <si>
    <t>QUEBRA QUEIXO AMENDOIM 55G</t>
  </si>
  <si>
    <t>588</t>
  </si>
  <si>
    <t>0736532088789</t>
  </si>
  <si>
    <t>QUEBRA QUEIXO GOIABA  55G</t>
  </si>
  <si>
    <t>379</t>
  </si>
  <si>
    <t>736532088796 9000000000380</t>
  </si>
  <si>
    <t>QUEIJO QUENTE COM PAO DE FORMA</t>
  </si>
  <si>
    <t>222</t>
  </si>
  <si>
    <t>9000000000223</t>
  </si>
  <si>
    <t>QUEIJO QUENTE COM PAO FRANCES</t>
  </si>
  <si>
    <t>223</t>
  </si>
  <si>
    <t>9000000000224</t>
  </si>
  <si>
    <t>REF COCA LT 350ML</t>
  </si>
  <si>
    <t>341</t>
  </si>
  <si>
    <t>7894900010015 9000000000342</t>
  </si>
  <si>
    <t>REF COCA PET 1500ML</t>
  </si>
  <si>
    <t>344</t>
  </si>
  <si>
    <t>7894900011753 9000000000345</t>
  </si>
  <si>
    <t>REF COCA PET 2LT</t>
  </si>
  <si>
    <t>346</t>
  </si>
  <si>
    <t>7894900027013 9000000000347</t>
  </si>
  <si>
    <t>REF COCA PET 500ML</t>
  </si>
  <si>
    <t>340</t>
  </si>
  <si>
    <t>7894900013566 9000000000341</t>
  </si>
  <si>
    <t>REF COCA PET ZERO 600ML</t>
  </si>
  <si>
    <t>787</t>
  </si>
  <si>
    <t>7894900701609 9000000000728</t>
  </si>
  <si>
    <t>REF COCA ZERO LT 350ML</t>
  </si>
  <si>
    <t>342</t>
  </si>
  <si>
    <t>7894900700015 9000000000343</t>
  </si>
  <si>
    <t>REF COCA ZERO PET 1500ML</t>
  </si>
  <si>
    <t>343</t>
  </si>
  <si>
    <t>7894900701753 9000000000344</t>
  </si>
  <si>
    <t>REF COCA ZERO PET 2LT</t>
  </si>
  <si>
    <t>345</t>
  </si>
  <si>
    <t>7894900701517 9000000000346</t>
  </si>
  <si>
    <t>REF FANTA LAR LT 350ML</t>
  </si>
  <si>
    <t>321</t>
  </si>
  <si>
    <t>7894900030013 9000000000322</t>
  </si>
  <si>
    <t>REF FANTA LAR ZERO LT 350ML</t>
  </si>
  <si>
    <t>314</t>
  </si>
  <si>
    <t>7894900150018 9000000000315</t>
  </si>
  <si>
    <t>REF FYS GUARANA LT 350ML</t>
  </si>
  <si>
    <t>319</t>
  </si>
  <si>
    <t>7896052607044 9000000000320</t>
  </si>
  <si>
    <t>REF FYS LARANJA LT 350ML</t>
  </si>
  <si>
    <t>316</t>
  </si>
  <si>
    <t>7896052607129 9000000000317</t>
  </si>
  <si>
    <t>REF FYS LIMAO SIC LT 350ML</t>
  </si>
  <si>
    <t>313</t>
  </si>
  <si>
    <t>7896052607167 9000000000314</t>
  </si>
  <si>
    <t>REF GUARANA LT 350ML</t>
  </si>
  <si>
    <t>325</t>
  </si>
  <si>
    <t>7891991000826 7891991002189 9000000000326</t>
  </si>
  <si>
    <t>REF GUARANA PET 1LT</t>
  </si>
  <si>
    <t>332</t>
  </si>
  <si>
    <t>7891991002561 7891991002974 9000000000333</t>
  </si>
  <si>
    <t>REF GUARANA PET 200ML</t>
  </si>
  <si>
    <t>779</t>
  </si>
  <si>
    <t>7891991014908 9000000000725</t>
  </si>
  <si>
    <t>REF GUARANA PET 2LT</t>
  </si>
  <si>
    <t>336</t>
  </si>
  <si>
    <t>7891991001342 9000000000337</t>
  </si>
  <si>
    <t>REF GUARANA ZERO LT 350ML</t>
  </si>
  <si>
    <t>326</t>
  </si>
  <si>
    <t>7891991000727 7891991002288 9000000000327</t>
  </si>
  <si>
    <t>REF GUARANA ZERO PET 1LT</t>
  </si>
  <si>
    <t>335</t>
  </si>
  <si>
    <t>7891991002608 9000000000336</t>
  </si>
  <si>
    <t>REF GUARANA ZERO PET 200ML</t>
  </si>
  <si>
    <t>317</t>
  </si>
  <si>
    <t>7891991016124 9000000000318</t>
  </si>
  <si>
    <t>REF GUARANA ZERO PET 2LT</t>
  </si>
  <si>
    <t>338</t>
  </si>
  <si>
    <t>7891991001373 9000000000339</t>
  </si>
  <si>
    <t>REF KUAT LT 350ML</t>
  </si>
  <si>
    <t>322</t>
  </si>
  <si>
    <t>7894900910018 9000000000323</t>
  </si>
  <si>
    <t>REF PEPSI BLACK LT 350ML</t>
  </si>
  <si>
    <t>324</t>
  </si>
  <si>
    <t>7892840813505 9000000000325</t>
  </si>
  <si>
    <t>REF PEPSI BLACK PET 1LT</t>
  </si>
  <si>
    <t>331</t>
  </si>
  <si>
    <t>7892840820862 9000000000332</t>
  </si>
  <si>
    <t>REF PEPSI BLACK PET 200ML</t>
  </si>
  <si>
    <t>315</t>
  </si>
  <si>
    <t>7892840819323 9000000000316</t>
  </si>
  <si>
    <t>REF PEPSI LT 350ML</t>
  </si>
  <si>
    <t>328</t>
  </si>
  <si>
    <t>7892840800079 9000000000329</t>
  </si>
  <si>
    <t>REF PEPSI PET 1LT</t>
  </si>
  <si>
    <t>333</t>
  </si>
  <si>
    <t>7892840800406 9000000000334</t>
  </si>
  <si>
    <t>REF PEPSI PET 200ML</t>
  </si>
  <si>
    <t>854</t>
  </si>
  <si>
    <t>7892840800567 9000000000760</t>
  </si>
  <si>
    <t>REF SCHWEPPES LT 350ML</t>
  </si>
  <si>
    <t>349</t>
  </si>
  <si>
    <t>7894900320015 9000000000350</t>
  </si>
  <si>
    <t>REF SODA LIM LT 350ML</t>
  </si>
  <si>
    <t>323</t>
  </si>
  <si>
    <t>7891991000833 7891991002202 9000000000324</t>
  </si>
  <si>
    <t>REF SODA LIM PET 1LT</t>
  </si>
  <si>
    <t>330</t>
  </si>
  <si>
    <t>7891991002578 9000000000331</t>
  </si>
  <si>
    <t>REF SODA PET 200ML</t>
  </si>
  <si>
    <t>318</t>
  </si>
  <si>
    <t>7891991014984 9000000000319</t>
  </si>
  <si>
    <t>REF SODA PET 2LT</t>
  </si>
  <si>
    <t>339</t>
  </si>
  <si>
    <t>7891991001359 9000000000340</t>
  </si>
  <si>
    <t>REF SUKITA LAR PET 1LT</t>
  </si>
  <si>
    <t>334</t>
  </si>
  <si>
    <t>7891149441204 9000000000335</t>
  </si>
  <si>
    <t>REF SUKITA LARANJA LT 350ML</t>
  </si>
  <si>
    <t>320</t>
  </si>
  <si>
    <t>7891149440603 9000000000321</t>
  </si>
  <si>
    <t>REF SUKITA PET 200ML</t>
  </si>
  <si>
    <t>815</t>
  </si>
  <si>
    <t>7891149108299</t>
  </si>
  <si>
    <t>REF SUKITA PET 2LT</t>
  </si>
  <si>
    <t>337</t>
  </si>
  <si>
    <t>7891149440801 9000000000338</t>
  </si>
  <si>
    <t>REFRESCO DEL VALLE  UVA 450ML</t>
  </si>
  <si>
    <t>697</t>
  </si>
  <si>
    <t>7894900550054 9000000000646</t>
  </si>
  <si>
    <t>REFRESCO DEL VALLE LARANJA 1500ML</t>
  </si>
  <si>
    <t>361</t>
  </si>
  <si>
    <t>7894900556063 9000000000362</t>
  </si>
  <si>
    <t>REFRESCO DEL VALLE LARANJA 450ML</t>
  </si>
  <si>
    <t>492</t>
  </si>
  <si>
    <t>7894900556056</t>
  </si>
  <si>
    <t>REFRESCO DEL VALLE UVA 1500ML</t>
  </si>
  <si>
    <t>363</t>
  </si>
  <si>
    <t>7894900550061 9000000000364</t>
  </si>
  <si>
    <t>SABAO EM PEDRA NEUTRO</t>
  </si>
  <si>
    <t>820</t>
  </si>
  <si>
    <t>9000000000745</t>
  </si>
  <si>
    <t>SACHE CAPPUCCINO 3CORACOES 20G</t>
  </si>
  <si>
    <t>798</t>
  </si>
  <si>
    <t>7896005802373 9000000000734</t>
  </si>
  <si>
    <t>SACHE DRIP COFFEE GOURMET 3CORACOES 11G</t>
  </si>
  <si>
    <t>799</t>
  </si>
  <si>
    <t>7896045106868 9000000000735</t>
  </si>
  <si>
    <t>SACO PAPEL KRAFT 15X25</t>
  </si>
  <si>
    <t>819</t>
  </si>
  <si>
    <t>7897120700032</t>
  </si>
  <si>
    <t>SACOLA P 35X40</t>
  </si>
  <si>
    <t>818</t>
  </si>
  <si>
    <t>9000000000743</t>
  </si>
  <si>
    <t>SAND AMERICANO</t>
  </si>
  <si>
    <t>8</t>
  </si>
  <si>
    <t>9000000000009</t>
  </si>
  <si>
    <t>SAND CHEESE FILE</t>
  </si>
  <si>
    <t>136</t>
  </si>
  <si>
    <t>9000000000137</t>
  </si>
  <si>
    <t>SANDUICHE MORTADELA</t>
  </si>
  <si>
    <t>246</t>
  </si>
  <si>
    <t>9000000000247</t>
  </si>
  <si>
    <t>SANDUICHE MORTADELA C/ QUEIJO MUCARELA</t>
  </si>
  <si>
    <t>247</t>
  </si>
  <si>
    <t>9000000000248</t>
  </si>
  <si>
    <t>SC CAMPO LARGO UVA 900ML</t>
  </si>
  <si>
    <t>494</t>
  </si>
  <si>
    <t>7896931614132</t>
  </si>
  <si>
    <t>SC KAPO LARANJA 200ML</t>
  </si>
  <si>
    <t>482</t>
  </si>
  <si>
    <t>7894900563702 9000000000557</t>
  </si>
  <si>
    <t>SC KAPO MARACUJA 200ML</t>
  </si>
  <si>
    <t>484</t>
  </si>
  <si>
    <t>7894900573701 9000000000559</t>
  </si>
  <si>
    <t>SC KAPO MORANGO 200ML</t>
  </si>
  <si>
    <t>485</t>
  </si>
  <si>
    <t>7894900583700</t>
  </si>
  <si>
    <t>SC KAPO UVA 200ML</t>
  </si>
  <si>
    <t>483</t>
  </si>
  <si>
    <t>7894900593709 9000000000558</t>
  </si>
  <si>
    <t>SC SKINKA FRUT CITRICAS 450ML</t>
  </si>
  <si>
    <t>493</t>
  </si>
  <si>
    <t>7896052601516</t>
  </si>
  <si>
    <t>SC SKINKA UVA 450ML</t>
  </si>
  <si>
    <t>857</t>
  </si>
  <si>
    <t>7896052606757 9000000000763</t>
  </si>
  <si>
    <t>SCHWEPPES CITRUS 1500ML</t>
  </si>
  <si>
    <t>362</t>
  </si>
  <si>
    <t>7894900321753 9000000000363</t>
  </si>
  <si>
    <t>SEDA BEM BOLADO BROWN KING SIZE LARGE</t>
  </si>
  <si>
    <t>719</t>
  </si>
  <si>
    <t>0040232898655 9000000000668</t>
  </si>
  <si>
    <t>SEDA BEM BOLADO HEMP KING SIZE LARGE</t>
  </si>
  <si>
    <t>720</t>
  </si>
  <si>
    <t>742832158695 9000000000669</t>
  </si>
  <si>
    <t>716</t>
  </si>
  <si>
    <t>040232898655 9000000000665</t>
  </si>
  <si>
    <t>SEDA SMOKING BROWN MEDIUM</t>
  </si>
  <si>
    <t>721</t>
  </si>
  <si>
    <t>8414775013523 9000000000670</t>
  </si>
  <si>
    <t>SEDA SMOKING DELUXE KING SIZE 33UN</t>
  </si>
  <si>
    <t>713</t>
  </si>
  <si>
    <t>84195937 9000000000662</t>
  </si>
  <si>
    <t>SEDA SMOKING DELUXE MEDIUM</t>
  </si>
  <si>
    <t>714</t>
  </si>
  <si>
    <t>84190819 9000000000663</t>
  </si>
  <si>
    <t>SNICKERS DARK 42G</t>
  </si>
  <si>
    <t>889</t>
  </si>
  <si>
    <t>7896423481860</t>
  </si>
  <si>
    <t>SNICKERS MORANGO 42G</t>
  </si>
  <si>
    <t>887</t>
  </si>
  <si>
    <t>7896423445893</t>
  </si>
  <si>
    <t>SOPA COM TORRADAS 450ML (METADE)</t>
  </si>
  <si>
    <t>249</t>
  </si>
  <si>
    <t>9000000000250</t>
  </si>
  <si>
    <t>SOPA COM TORRADAS 900ML</t>
  </si>
  <si>
    <t>248</t>
  </si>
  <si>
    <t>9000000000249</t>
  </si>
  <si>
    <t>SORVETE K 2 EM 1 SABORES 2L</t>
  </si>
  <si>
    <t>663</t>
  </si>
  <si>
    <t>7891150086890 9000000000611</t>
  </si>
  <si>
    <t>SORVETE K 4 1 CHOCOLATE 2L</t>
  </si>
  <si>
    <t>661</t>
  </si>
  <si>
    <t>7891150062115 9000000000608</t>
  </si>
  <si>
    <t>SORVETE K CHICABOM 800G</t>
  </si>
  <si>
    <t>660</t>
  </si>
  <si>
    <t>7891150094475 9000000000607</t>
  </si>
  <si>
    <t>SORVETE K CHICABOM ZERO 800ML</t>
  </si>
  <si>
    <t>659</t>
  </si>
  <si>
    <t>7891150073562 9000000000606</t>
  </si>
  <si>
    <t>SORVETE K CHOCOLATE 15L</t>
  </si>
  <si>
    <t>658</t>
  </si>
  <si>
    <t>7891150077263 9000000000604</t>
  </si>
  <si>
    <t>SORVETE K CORNETO BRIGADEIRO 65G</t>
  </si>
  <si>
    <t>657</t>
  </si>
  <si>
    <t>7891150091290 9000000000603</t>
  </si>
  <si>
    <t>SORVETE K CORNETO MEM 62G</t>
  </si>
  <si>
    <t>656</t>
  </si>
  <si>
    <t>7891150065925 9000000000602</t>
  </si>
  <si>
    <t>SORVETE K CORNETTO CONE CHOCMIX</t>
  </si>
  <si>
    <t>655</t>
  </si>
  <si>
    <t>7891075302051 8721274701746 9000000000601</t>
  </si>
  <si>
    <t>SORVETE K CORNETTO CROCANTE</t>
  </si>
  <si>
    <t>654</t>
  </si>
  <si>
    <t>7891150051973 9000000000600</t>
  </si>
  <si>
    <t>SORVETE K CORNETTO MORANGO</t>
  </si>
  <si>
    <t>653</t>
  </si>
  <si>
    <t>8721274702248 9000000000599</t>
  </si>
  <si>
    <t>SORVETE K CREME 15L</t>
  </si>
  <si>
    <t>652</t>
  </si>
  <si>
    <t>78911500502357 9000000000598</t>
  </si>
  <si>
    <t>SORVETE K CREMOSISSIMO 4 EM 1</t>
  </si>
  <si>
    <t>651</t>
  </si>
  <si>
    <t>7891150055957 9000000000597</t>
  </si>
  <si>
    <t>SORVETE K CREMOSISSIMO TRISAB CREMECHO</t>
  </si>
  <si>
    <t>650</t>
  </si>
  <si>
    <t>7891150024571 9000000000596</t>
  </si>
  <si>
    <t>SORVETE K DUO CHICABON E CHICABON BRAN</t>
  </si>
  <si>
    <t>649</t>
  </si>
  <si>
    <t>8721274701777 9000000000595</t>
  </si>
  <si>
    <t>SORVETE K DUO LIMAO E MARACUJA 15L</t>
  </si>
  <si>
    <t>648</t>
  </si>
  <si>
    <t>8721274701784 9000000000594</t>
  </si>
  <si>
    <t>SORVETE K ESKI BON MINI 92G</t>
  </si>
  <si>
    <t>647</t>
  </si>
  <si>
    <t>7891075081215 9000000000593</t>
  </si>
  <si>
    <t>SORVETE K ESKIBON MINI MORANGO 92G</t>
  </si>
  <si>
    <t>646</t>
  </si>
  <si>
    <t>7891150099548 9000000000592</t>
  </si>
  <si>
    <t>SORVETE K GELATIER COPO SABORES</t>
  </si>
  <si>
    <t>645</t>
  </si>
  <si>
    <t>7891150087330 9000000000591</t>
  </si>
  <si>
    <t>SORVETE K MAGNUM SABORES 161G</t>
  </si>
  <si>
    <t>644</t>
  </si>
  <si>
    <t>7891150100862 9000000000590</t>
  </si>
  <si>
    <t>SORVETE K MINI CHICABON 92G</t>
  </si>
  <si>
    <t>642</t>
  </si>
  <si>
    <t>7891150094833 9000000000589</t>
  </si>
  <si>
    <t>SORVETE K MINI DOCE DE LEITE 92G</t>
  </si>
  <si>
    <t>640</t>
  </si>
  <si>
    <t>7891150094840 9000000000588</t>
  </si>
  <si>
    <t>SORVETE K MINI DOCE DE LEITE POTE 184</t>
  </si>
  <si>
    <t>639</t>
  </si>
  <si>
    <t>7891150100831 9000000000587</t>
  </si>
  <si>
    <t>SORVETE K MINI MORANGO POTE 184G</t>
  </si>
  <si>
    <t>638</t>
  </si>
  <si>
    <t>7891150100824 9000000000586</t>
  </si>
  <si>
    <t>SORVETE K NAPOLITANO 15L</t>
  </si>
  <si>
    <t>637</t>
  </si>
  <si>
    <t>7891150055858 9000000000585</t>
  </si>
  <si>
    <t>SORVETE K OVOMALTINE 800ML</t>
  </si>
  <si>
    <t>636</t>
  </si>
  <si>
    <t>7891150061040 9000000000584</t>
  </si>
  <si>
    <t>SORVETE K POTE FLOCOS 15L</t>
  </si>
  <si>
    <t>635</t>
  </si>
  <si>
    <t>7891150050242 9000000000583</t>
  </si>
  <si>
    <t>SORVETE K SNICKERS COPO 800ML</t>
  </si>
  <si>
    <t>634</t>
  </si>
  <si>
    <t>7891150061033 9000000000582</t>
  </si>
  <si>
    <t>SORVETE K SUNDAE CHOCOLATE 1,4L</t>
  </si>
  <si>
    <t>734</t>
  </si>
  <si>
    <t>7891150068315 9000000000684</t>
  </si>
  <si>
    <t>SORVETE K SUNDAE TRUFADO SABORES</t>
  </si>
  <si>
    <t>632</t>
  </si>
  <si>
    <t>7891150074026 9000000000581</t>
  </si>
  <si>
    <t>SORVETE K TABLITO 800G</t>
  </si>
  <si>
    <t>631</t>
  </si>
  <si>
    <t>7891150061057 9000000000580</t>
  </si>
  <si>
    <t>SORVETE K UNICORNETTO 59G</t>
  </si>
  <si>
    <t>629</t>
  </si>
  <si>
    <t>7891150068537 9000000000579</t>
  </si>
  <si>
    <t>SORVT MAGNUM MINI CHICABON 184G</t>
  </si>
  <si>
    <t>623</t>
  </si>
  <si>
    <t>7891150100817</t>
  </si>
  <si>
    <t>SORVT MAGNUM MINI ESKIBON 184G</t>
  </si>
  <si>
    <t>624</t>
  </si>
  <si>
    <t>7891150096516</t>
  </si>
  <si>
    <t>SPRITE 350ML</t>
  </si>
  <si>
    <t>329</t>
  </si>
  <si>
    <t>7894900681017 9000000000330</t>
  </si>
  <si>
    <t>SPRITE FRESH LIMAO 500ML</t>
  </si>
  <si>
    <t>360</t>
  </si>
  <si>
    <t>7894900680508 9000000000361</t>
  </si>
  <si>
    <t>SPRITE ZERO 350ML</t>
  </si>
  <si>
    <t>327</t>
  </si>
  <si>
    <t>7894900060010 9000000000328</t>
  </si>
  <si>
    <t>SPRITE ZERO LIMAO 2000ML</t>
  </si>
  <si>
    <t>695</t>
  </si>
  <si>
    <t>7894900061512 7894900681000 9000000000644</t>
  </si>
  <si>
    <t>SUCO CAMPO LARGO UVA 250ML</t>
  </si>
  <si>
    <t>491</t>
  </si>
  <si>
    <t>17896931614122 7896931614125</t>
  </si>
  <si>
    <t>SUCO LARANJA COPO</t>
  </si>
  <si>
    <t>(1) MV  -  CARDAPIO|(1.1) MV | SUCOS</t>
  </si>
  <si>
    <t>690</t>
  </si>
  <si>
    <t>9000000000639</t>
  </si>
  <si>
    <t>SUCO LARANJA GARRAFA 1000ML</t>
  </si>
  <si>
    <t>500</t>
  </si>
  <si>
    <t>9000000000562</t>
  </si>
  <si>
    <t>SUCO LARANJA GARRAFA 500ML</t>
  </si>
  <si>
    <t>262</t>
  </si>
  <si>
    <t>9000000000263</t>
  </si>
  <si>
    <t>SUCO LARANJA JARRA 1200ML</t>
  </si>
  <si>
    <t>263</t>
  </si>
  <si>
    <t>9000000000264</t>
  </si>
  <si>
    <t>SUCO POLPA COPO</t>
  </si>
  <si>
    <t>264</t>
  </si>
  <si>
    <t>9000000000265</t>
  </si>
  <si>
    <t>SUFLAIR NESTLE 50G</t>
  </si>
  <si>
    <t>610</t>
  </si>
  <si>
    <t>7891000107836 9000000000638</t>
  </si>
  <si>
    <t>SUFLAIR NESTLE 80G</t>
  </si>
  <si>
    <t>609</t>
  </si>
  <si>
    <t>7891000329856</t>
  </si>
  <si>
    <t>SUPER BONDER ORIGINAL 3G</t>
  </si>
  <si>
    <t>810</t>
  </si>
  <si>
    <t>7891200190942</t>
  </si>
  <si>
    <t>SUPER LAGOA</t>
  </si>
  <si>
    <t>250</t>
  </si>
  <si>
    <t>9000000000251</t>
  </si>
  <si>
    <t>SUPORTE VEICULAR</t>
  </si>
  <si>
    <t>774</t>
  </si>
  <si>
    <t>7890108400221 9000000000720</t>
  </si>
  <si>
    <t>TABACO AMSTERDAM 25G</t>
  </si>
  <si>
    <t>712</t>
  </si>
  <si>
    <t>7898952050050 9000000000661</t>
  </si>
  <si>
    <t>TABACO RAINBOW SILVER BRIGHT 25G</t>
  </si>
  <si>
    <t>711</t>
  </si>
  <si>
    <t>7898956381105 9000000000660</t>
  </si>
  <si>
    <t>TALENTO MEIO AMARGO 25G</t>
  </si>
  <si>
    <t>842</t>
  </si>
  <si>
    <t>78907355</t>
  </si>
  <si>
    <t>TAPIOCA CARNE DE SOL QUEIJO MUCARELA</t>
  </si>
  <si>
    <t>251</t>
  </si>
  <si>
    <t>9000000000252</t>
  </si>
  <si>
    <t>TAPIOCA FRANGO QUEIJO MUCARELA</t>
  </si>
  <si>
    <t>253</t>
  </si>
  <si>
    <t>9000000000254</t>
  </si>
  <si>
    <t>TAPIOCA MISTA</t>
  </si>
  <si>
    <t>254</t>
  </si>
  <si>
    <t>9000000000255</t>
  </si>
  <si>
    <t>TAPIOCA QUEIJO COALHO</t>
  </si>
  <si>
    <t>252</t>
  </si>
  <si>
    <t>9000000000253</t>
  </si>
  <si>
    <t>TEMP CRAVO DA INDIA 8G</t>
  </si>
  <si>
    <t>770</t>
  </si>
  <si>
    <t>7891095154289</t>
  </si>
  <si>
    <t>TIC TAC LARANJA 14 5G</t>
  </si>
  <si>
    <t>423</t>
  </si>
  <si>
    <t>07898024398790 9000000000424</t>
  </si>
  <si>
    <t>TIC TAC LARANJA 49G</t>
  </si>
  <si>
    <t>422</t>
  </si>
  <si>
    <t>7861002901855 9000000000423</t>
  </si>
  <si>
    <t>TIC TAC MENTA 14 5G</t>
  </si>
  <si>
    <t>420</t>
  </si>
  <si>
    <t>7898024398837 9000000000421</t>
  </si>
  <si>
    <t>TIC TAC MENTA 49G</t>
  </si>
  <si>
    <t>421</t>
  </si>
  <si>
    <t>7861002901831 9000000000422</t>
  </si>
  <si>
    <t>TIC TAC MENTA FRESH 14 5G</t>
  </si>
  <si>
    <t>418</t>
  </si>
  <si>
    <t>78945494 9000000000419</t>
  </si>
  <si>
    <t>TODYNHO 200ML</t>
  </si>
  <si>
    <t>487</t>
  </si>
  <si>
    <t>7894321722016</t>
  </si>
  <si>
    <t>TOMADA TIPO C IPHONE</t>
  </si>
  <si>
    <t>748</t>
  </si>
  <si>
    <t>9000000000699</t>
  </si>
  <si>
    <t>TOMADA USB</t>
  </si>
  <si>
    <t>749</t>
  </si>
  <si>
    <t>9000000000700</t>
  </si>
  <si>
    <t>TONICA LT 350ML</t>
  </si>
  <si>
    <t>351</t>
  </si>
  <si>
    <t>7891991000840 9000000000352</t>
  </si>
  <si>
    <t>700</t>
  </si>
  <si>
    <t>2000000000036 7898948044285 9000000000649</t>
  </si>
  <si>
    <t>TORTILETE</t>
  </si>
  <si>
    <t>260</t>
  </si>
  <si>
    <t>9000000000261</t>
  </si>
  <si>
    <t>TOSTEX QUEIJO DO REINO</t>
  </si>
  <si>
    <t>261</t>
  </si>
  <si>
    <t>9000000000262</t>
  </si>
  <si>
    <t>TRENTO MASSIMO DUO 8X15X25GR</t>
  </si>
  <si>
    <t>806</t>
  </si>
  <si>
    <t>7896306625114</t>
  </si>
  <si>
    <t>TWIX ORIGINAL 40G</t>
  </si>
  <si>
    <t>894</t>
  </si>
  <si>
    <t>7896423471007</t>
  </si>
  <si>
    <t>Tomada USB + PD</t>
  </si>
  <si>
    <t>780</t>
  </si>
  <si>
    <t>7898660992000</t>
  </si>
  <si>
    <t>Tomada USB - C</t>
  </si>
  <si>
    <t>781</t>
  </si>
  <si>
    <t>9000000000726</t>
  </si>
  <si>
    <t>VINHO QUINTA MORGADO TTO SUAVE 750ML</t>
  </si>
  <si>
    <t>912</t>
  </si>
  <si>
    <t>7896037913146</t>
  </si>
  <si>
    <t>WH CHIVAS REGAL 12A 1000ML</t>
  </si>
  <si>
    <t>723</t>
  </si>
  <si>
    <t>080432400432 9000000000672</t>
  </si>
  <si>
    <t>WH JW RED LABEL 1000ML</t>
  </si>
  <si>
    <t>722</t>
  </si>
  <si>
    <t>5000267013602 9000000000671</t>
  </si>
  <si>
    <t>WHISKY JWALKER RED LABEL 1L</t>
  </si>
  <si>
    <t>845</t>
  </si>
  <si>
    <t>9000000000757</t>
  </si>
  <si>
    <t>YO PRO SABORES 15G</t>
  </si>
  <si>
    <t>616</t>
  </si>
  <si>
    <t>7891025115656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</si>
</sst>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 - #,##0.00;" numFmtId="164"/>
  </numFmts>
  <fonts count="3">
    <font>
      <sz val="12"/>
      <color rgb="FF000000"/>
      <name val="Calibri"/>
      <family val="1"/>
    </font>
    <font>
      <sz val="13"/>
      <color rgb="FFFFFFFF"/>
      <name val="Calibri"/>
      <family val="1"/>
    </font>
    <font>
      <sz val="11"/>
      <color rgb="FF181A19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 applyFill="1" fillId="2" applyAlignment="1">
      <alignment horizontal="right"/>
    </xf>
    <xf applyFont="1" fontId="1" applyFill="1" fillId="2" applyAlignment="1">
      <alignment horizontal="left"/>
    </xf>
    <xf applyFont="1" fontId="1" applyFill="1" fillId="2" applyAlignment="1">
      <alignment horizontal="center"/>
    </xf>
    <xf applyFont="1" fontId="2" applyAlignment="1">
      <alignment horizontal="left"/>
    </xf>
    <xf applyFont="1" fontId="2" applyNumberFormat="1" numFmtId="164" applyAlignment="1">
      <alignment horizontal="right"/>
    </xf>
    <xf applyFont="1" fontId="2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892"/>
  <sheetViews>
    <sheetView showGridLines="1" workbookViewId="0" rightToLeft="0" zoomScale="100" zoomScaleNormal="100" zoomScalePageLayoutView="100"/>
  </sheetViews>
  <sheetFormatPr baseColWidth="10" defaultRowHeight="16"/>
  <cols>
    <col min="1" max="1" width="59" customWidth="1"/>
    <col min="2" max="2" width="101" customWidth="1"/>
    <col min="3" max="3" width="12" customWidth="1"/>
    <col min="4" max="4" width="14" customWidth="1"/>
    <col min="5" max="5" width="16" customWidth="1"/>
    <col min="6" max="6" width="9" customWidth="1"/>
    <col min="7" max="7" width="11" customWidth="1"/>
    <col min="8" max="8" width="70" customWidth="1"/>
    <col min="9" max="9" width="10" customWidth="1"/>
  </cols>
  <sheetData>
    <row r="1" spans="1:9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f>=" CAFE EXPRESSO CARIOCA"</f>
      </c>
      <c r="B2" s="4" t="s">
        <v>9</v>
      </c>
      <c r="C2" s="5" t="n">
        <v>6.9</v>
      </c>
      <c r="F2" s="4" t="s">
        <v>10</v>
      </c>
      <c r="G2" s="4" t="s">
        <v>11</v>
      </c>
      <c r="H2" s="4" t="s">
        <v>12</v>
      </c>
      <c r="I2" s="6" t="s">
        <v>13</v>
      </c>
    </row>
    <row r="3" spans="1:9">
      <c r="A3" s="4">
        <f>=" CHOCOLATE QUENTE PEQUENO"</f>
      </c>
      <c r="B3" s="4" t="s">
        <v>14</v>
      </c>
      <c r="C3" s="5" t="n">
        <v>8.9</v>
      </c>
      <c r="D3" s="5" t="n">
        <v>0.31</v>
      </c>
      <c r="F3" s="4" t="s">
        <v>10</v>
      </c>
      <c r="G3" s="4" t="s">
        <v>15</v>
      </c>
      <c r="H3" s="4" t="s">
        <v>16</v>
      </c>
      <c r="I3" s="6" t="s">
        <v>13</v>
      </c>
    </row>
    <row r="4" spans="1:9">
      <c r="A4" s="4">
        <f>=" ISCA DE TILAPIA"</f>
      </c>
      <c r="B4" s="4" t="s">
        <v>17</v>
      </c>
      <c r="C4" s="5" t="n">
        <v>36.9</v>
      </c>
      <c r="D4" s="5" t="n">
        <v>8.96</v>
      </c>
      <c r="F4" s="4" t="s">
        <v>10</v>
      </c>
      <c r="G4" s="4" t="s">
        <v>18</v>
      </c>
      <c r="H4" s="4" t="s">
        <v>19</v>
      </c>
      <c r="I4" s="6" t="s">
        <v>13</v>
      </c>
    </row>
    <row r="5" spans="1:9">
      <c r="A5" s="4">
        <f>=" LAGOA BOI"</f>
      </c>
      <c r="B5" s="4" t="s">
        <v>17</v>
      </c>
      <c r="C5" s="5" t="n">
        <v>39.9</v>
      </c>
      <c r="D5" s="5" t="n">
        <v>2.53</v>
      </c>
      <c r="F5" s="4" t="s">
        <v>10</v>
      </c>
      <c r="G5" s="4" t="s">
        <v>20</v>
      </c>
      <c r="H5" s="4" t="s">
        <v>21</v>
      </c>
      <c r="I5" s="6" t="s">
        <v>13</v>
      </c>
    </row>
    <row r="6" spans="1:9">
      <c r="A6" s="4">
        <f>=" LAGOA FRANGO"</f>
      </c>
      <c r="B6" s="4" t="s">
        <v>17</v>
      </c>
      <c r="C6" s="5" t="n">
        <v>32.9</v>
      </c>
      <c r="D6" s="5" t="n">
        <v>1.5</v>
      </c>
      <c r="F6" s="4" t="s">
        <v>10</v>
      </c>
      <c r="G6" s="4" t="s">
        <v>22</v>
      </c>
      <c r="H6" s="4" t="s">
        <v>23</v>
      </c>
      <c r="I6" s="6" t="s">
        <v>13</v>
      </c>
    </row>
    <row r="7" spans="1:9">
      <c r="A7" s="4">
        <f>=" NATURAL DE ATUM"</f>
      </c>
      <c r="B7" s="4" t="s">
        <v>24</v>
      </c>
      <c r="C7" s="5" t="n">
        <v>22.9</v>
      </c>
      <c r="D7" s="5" t="n">
        <v>2.75</v>
      </c>
      <c r="F7" s="4" t="s">
        <v>10</v>
      </c>
      <c r="G7" s="4" t="s">
        <v>25</v>
      </c>
      <c r="H7" s="4" t="s">
        <v>26</v>
      </c>
      <c r="I7" s="6" t="s">
        <v>13</v>
      </c>
    </row>
    <row r="8" spans="1:9">
      <c r="A8" s="4">
        <f>=" PORCAO DE 2 OVOS NA CHAPA"</f>
      </c>
      <c r="B8" s="4" t="s">
        <v>27</v>
      </c>
      <c r="C8" s="5" t="n">
        <v>8</v>
      </c>
      <c r="D8" s="5" t="n">
        <v>1.27</v>
      </c>
      <c r="F8" s="4" t="s">
        <v>10</v>
      </c>
      <c r="G8" s="4" t="s">
        <v>28</v>
      </c>
      <c r="H8" s="4" t="s">
        <v>29</v>
      </c>
      <c r="I8" s="6" t="s">
        <v>13</v>
      </c>
    </row>
    <row r="9" spans="1:9">
      <c r="A9" s="4">
        <f>=" PORCAO DE ARROZ 180G"</f>
      </c>
      <c r="B9" s="4" t="s">
        <v>27</v>
      </c>
      <c r="C9" s="5" t="n">
        <v>9.9</v>
      </c>
      <c r="D9" s="5" t="n">
        <v>1.47</v>
      </c>
      <c r="F9" s="4" t="s">
        <v>10</v>
      </c>
      <c r="G9" s="4" t="s">
        <v>30</v>
      </c>
      <c r="H9" s="4" t="s">
        <v>31</v>
      </c>
      <c r="I9" s="6" t="s">
        <v>13</v>
      </c>
    </row>
    <row r="10" spans="1:9">
      <c r="A10" s="4">
        <f>=" PORCAO DE BOI GUISADO"</f>
      </c>
      <c r="B10" s="4" t="s">
        <v>27</v>
      </c>
      <c r="C10" s="5" t="n">
        <v>19</v>
      </c>
      <c r="D10" s="5" t="n">
        <v>8.97</v>
      </c>
      <c r="F10" s="4" t="s">
        <v>10</v>
      </c>
      <c r="G10" s="4" t="s">
        <v>32</v>
      </c>
      <c r="H10" s="4" t="s">
        <v>33</v>
      </c>
      <c r="I10" s="6" t="s">
        <v>13</v>
      </c>
    </row>
    <row r="11" spans="1:9">
      <c r="A11" s="4">
        <f>=" PORCAO DE CALABRESA 150G"</f>
      </c>
      <c r="B11" s="4" t="s">
        <v>27</v>
      </c>
      <c r="C11" s="5" t="n">
        <v>14.9</v>
      </c>
      <c r="D11" s="5" t="n">
        <v>0.34</v>
      </c>
      <c r="F11" s="4" t="s">
        <v>10</v>
      </c>
      <c r="G11" s="4" t="s">
        <v>34</v>
      </c>
      <c r="H11" s="4" t="s">
        <v>35</v>
      </c>
      <c r="I11" s="6" t="s">
        <v>13</v>
      </c>
    </row>
    <row r="12" spans="1:9">
      <c r="A12" s="4">
        <f>=" PORCAO DE FRANGO DESFIADO 75G"</f>
      </c>
      <c r="B12" s="4" t="s">
        <v>27</v>
      </c>
      <c r="C12" s="5" t="n">
        <v>10.9</v>
      </c>
      <c r="D12" s="5" t="n">
        <v>1.36</v>
      </c>
      <c r="F12" s="4" t="s">
        <v>10</v>
      </c>
      <c r="G12" s="4" t="s">
        <v>36</v>
      </c>
      <c r="H12" s="4" t="s">
        <v>37</v>
      </c>
      <c r="I12" s="6" t="s">
        <v>13</v>
      </c>
    </row>
    <row r="13" spans="1:9">
      <c r="A13" s="4" t="s">
        <v>38</v>
      </c>
      <c r="B13" s="4" t="s">
        <v>39</v>
      </c>
      <c r="F13" s="4" t="s">
        <v>10</v>
      </c>
      <c r="G13" s="4" t="s">
        <v>40</v>
      </c>
      <c r="H13" s="4" t="s">
        <v>41</v>
      </c>
      <c r="I13" s="6" t="s">
        <v>13</v>
      </c>
    </row>
    <row r="14" spans="1:9">
      <c r="A14" s="4" t="s">
        <v>38</v>
      </c>
      <c r="B14" s="4" t="s">
        <v>39</v>
      </c>
      <c r="F14" s="4" t="s">
        <v>10</v>
      </c>
      <c r="G14" s="4" t="s">
        <v>42</v>
      </c>
      <c r="H14" s="4" t="s">
        <v>43</v>
      </c>
      <c r="I14" s="6" t="s">
        <v>13</v>
      </c>
    </row>
    <row r="15" spans="1:9">
      <c r="A15" s="4" t="s">
        <v>44</v>
      </c>
      <c r="B15" s="4" t="s">
        <v>45</v>
      </c>
      <c r="C15" s="5" t="n">
        <v>2</v>
      </c>
      <c r="F15" s="4" t="s">
        <v>10</v>
      </c>
      <c r="G15" s="4" t="s">
        <v>46</v>
      </c>
      <c r="H15" s="4" t="s">
        <v>47</v>
      </c>
      <c r="I15" s="6" t="s">
        <v>13</v>
      </c>
    </row>
    <row r="16" spans="1:9">
      <c r="A16" s="4" t="s">
        <v>48</v>
      </c>
      <c r="B16" s="4" t="s">
        <v>45</v>
      </c>
      <c r="C16" s="5" t="n">
        <v>2</v>
      </c>
      <c r="F16" s="4" t="s">
        <v>10</v>
      </c>
      <c r="G16" s="4" t="s">
        <v>49</v>
      </c>
      <c r="H16" s="4" t="s">
        <v>50</v>
      </c>
      <c r="I16" s="6" t="s">
        <v>13</v>
      </c>
    </row>
    <row r="17" spans="1:9">
      <c r="A17" s="4">
        <f>="AGUA COCO AJA 1LT "</f>
      </c>
      <c r="B17" s="4" t="s">
        <v>51</v>
      </c>
      <c r="C17" s="5" t="n">
        <v>21</v>
      </c>
      <c r="D17" s="5" t="n">
        <v>13.2</v>
      </c>
      <c r="E17" s="5" t="n">
        <v>-7</v>
      </c>
      <c r="F17" s="4" t="s">
        <v>10</v>
      </c>
      <c r="G17" s="4" t="s">
        <v>52</v>
      </c>
      <c r="H17" s="4" t="s">
        <v>53</v>
      </c>
      <c r="I17" s="6" t="s">
        <v>13</v>
      </c>
    </row>
    <row r="18" spans="1:9">
      <c r="A18" s="4" t="s">
        <v>54</v>
      </c>
      <c r="B18" s="4" t="s">
        <v>51</v>
      </c>
      <c r="C18" s="5" t="n">
        <v>6.5</v>
      </c>
      <c r="D18" s="5" t="n">
        <v>4.5</v>
      </c>
      <c r="E18" s="5" t="n">
        <v>8</v>
      </c>
      <c r="F18" s="4" t="s">
        <v>10</v>
      </c>
      <c r="G18" s="4" t="s">
        <v>55</v>
      </c>
      <c r="H18" s="4" t="s">
        <v>56</v>
      </c>
      <c r="I18" s="6" t="s">
        <v>13</v>
      </c>
    </row>
    <row r="19" spans="1:9">
      <c r="A19" s="4" t="s">
        <v>57</v>
      </c>
      <c r="B19" s="4" t="s">
        <v>51</v>
      </c>
      <c r="C19" s="5" t="n">
        <v>12</v>
      </c>
      <c r="D19" s="5" t="n">
        <v>7.65</v>
      </c>
      <c r="E19" s="5" t="n">
        <v>-2</v>
      </c>
      <c r="F19" s="4" t="s">
        <v>10</v>
      </c>
      <c r="G19" s="4" t="s">
        <v>58</v>
      </c>
      <c r="H19" s="4" t="s">
        <v>59</v>
      </c>
      <c r="I19" s="6" t="s">
        <v>13</v>
      </c>
    </row>
    <row r="20" spans="1:9">
      <c r="A20" s="4" t="s">
        <v>60</v>
      </c>
      <c r="B20" s="4" t="s">
        <v>61</v>
      </c>
      <c r="C20" s="5" t="n">
        <v>6.5</v>
      </c>
      <c r="D20" s="5" t="n">
        <v>3.6</v>
      </c>
      <c r="E20" s="5" t="n">
        <v>-15</v>
      </c>
      <c r="F20" s="4" t="s">
        <v>10</v>
      </c>
      <c r="G20" s="4" t="s">
        <v>62</v>
      </c>
      <c r="H20" s="4" t="s">
        <v>63</v>
      </c>
      <c r="I20" s="6" t="s">
        <v>13</v>
      </c>
    </row>
    <row r="21" spans="1:9">
      <c r="A21" s="4" t="s">
        <v>64</v>
      </c>
      <c r="B21" s="4" t="s">
        <v>51</v>
      </c>
      <c r="C21" s="5" t="n">
        <v>5</v>
      </c>
      <c r="D21" s="5" t="n">
        <v>1.21</v>
      </c>
      <c r="E21" s="5" t="n">
        <v>153</v>
      </c>
      <c r="F21" s="4" t="s">
        <v>10</v>
      </c>
      <c r="G21" s="4" t="s">
        <v>65</v>
      </c>
      <c r="H21" s="4" t="s">
        <v>66</v>
      </c>
      <c r="I21" s="6" t="s">
        <v>13</v>
      </c>
    </row>
    <row r="22" spans="1:9">
      <c r="A22" s="4" t="s">
        <v>67</v>
      </c>
      <c r="B22" s="4" t="s">
        <v>51</v>
      </c>
      <c r="C22" s="5" t="n">
        <v>8</v>
      </c>
      <c r="D22" s="5" t="n">
        <v>0.31</v>
      </c>
      <c r="E22" s="5" t="n">
        <v>285</v>
      </c>
      <c r="F22" s="4" t="s">
        <v>10</v>
      </c>
      <c r="G22" s="4" t="s">
        <v>68</v>
      </c>
      <c r="H22" s="4" t="s">
        <v>69</v>
      </c>
      <c r="I22" s="6" t="s">
        <v>13</v>
      </c>
    </row>
    <row r="23" spans="1:9">
      <c r="A23" s="4" t="s">
        <v>70</v>
      </c>
      <c r="B23" s="4" t="s">
        <v>51</v>
      </c>
      <c r="C23" s="5" t="n">
        <v>4</v>
      </c>
      <c r="D23" s="5" t="n">
        <v>0.78</v>
      </c>
      <c r="E23" s="5" t="n">
        <v>397</v>
      </c>
      <c r="F23" s="4" t="s">
        <v>10</v>
      </c>
      <c r="G23" s="4" t="s">
        <v>71</v>
      </c>
      <c r="H23" s="4" t="s">
        <v>72</v>
      </c>
      <c r="I23" s="6" t="s">
        <v>13</v>
      </c>
    </row>
    <row r="24" spans="1:9">
      <c r="A24" s="4" t="s">
        <v>73</v>
      </c>
      <c r="B24" s="4" t="s">
        <v>51</v>
      </c>
      <c r="C24" s="5" t="n">
        <v>8.5</v>
      </c>
      <c r="D24" s="5" t="n">
        <v>6.15</v>
      </c>
      <c r="E24" s="5" t="n">
        <v>4</v>
      </c>
      <c r="F24" s="4" t="s">
        <v>10</v>
      </c>
      <c r="G24" s="4" t="s">
        <v>74</v>
      </c>
      <c r="H24" s="4" t="s">
        <v>75</v>
      </c>
      <c r="I24" s="6" t="s">
        <v>13</v>
      </c>
    </row>
    <row r="25" spans="1:9">
      <c r="A25" s="4" t="s">
        <v>76</v>
      </c>
      <c r="B25" s="4" t="s">
        <v>77</v>
      </c>
      <c r="C25" s="5" t="n">
        <v>12</v>
      </c>
      <c r="F25" s="4" t="s">
        <v>10</v>
      </c>
      <c r="G25" s="4" t="s">
        <v>78</v>
      </c>
      <c r="H25" s="4" t="s">
        <v>79</v>
      </c>
      <c r="I25" s="6" t="s">
        <v>13</v>
      </c>
    </row>
    <row r="26" spans="1:9">
      <c r="A26" s="4" t="s">
        <v>80</v>
      </c>
      <c r="B26" s="4" t="s">
        <v>77</v>
      </c>
      <c r="C26" s="5" t="n">
        <v>10</v>
      </c>
      <c r="F26" s="4" t="s">
        <v>10</v>
      </c>
      <c r="G26" s="4" t="s">
        <v>81</v>
      </c>
      <c r="H26" s="4" t="s">
        <v>82</v>
      </c>
      <c r="I26" s="6" t="s">
        <v>13</v>
      </c>
    </row>
    <row r="27" spans="1:9">
      <c r="A27" s="4" t="s">
        <v>83</v>
      </c>
      <c r="B27" s="4" t="s">
        <v>77</v>
      </c>
      <c r="C27" s="5" t="n">
        <v>5</v>
      </c>
      <c r="E27" s="5" t="n">
        <v>1</v>
      </c>
      <c r="F27" s="4" t="s">
        <v>10</v>
      </c>
      <c r="G27" s="4" t="s">
        <v>84</v>
      </c>
      <c r="H27" s="4" t="s">
        <v>85</v>
      </c>
      <c r="I27" s="6" t="s">
        <v>13</v>
      </c>
    </row>
    <row r="28" spans="1:9">
      <c r="A28" s="4" t="s">
        <v>86</v>
      </c>
      <c r="B28" s="4" t="s">
        <v>77</v>
      </c>
      <c r="C28" s="5" t="n">
        <v>4</v>
      </c>
      <c r="D28" s="5" t="n">
        <v>2.29</v>
      </c>
      <c r="E28" s="5" t="n">
        <v>9</v>
      </c>
      <c r="F28" s="4" t="s">
        <v>10</v>
      </c>
      <c r="G28" s="4" t="s">
        <v>87</v>
      </c>
      <c r="H28" s="4" t="s">
        <v>88</v>
      </c>
      <c r="I28" s="6" t="s">
        <v>13</v>
      </c>
    </row>
    <row r="29" spans="1:9">
      <c r="A29" s="4" t="s">
        <v>89</v>
      </c>
      <c r="B29" s="4" t="s">
        <v>77</v>
      </c>
      <c r="C29" s="5" t="n">
        <v>0.3</v>
      </c>
      <c r="E29" s="5" t="n">
        <v>859</v>
      </c>
      <c r="F29" s="4" t="s">
        <v>10</v>
      </c>
      <c r="G29" s="4" t="s">
        <v>90</v>
      </c>
      <c r="H29" s="4" t="s">
        <v>91</v>
      </c>
      <c r="I29" s="6" t="s">
        <v>13</v>
      </c>
    </row>
    <row r="30" spans="1:9">
      <c r="A30" s="4" t="s">
        <v>92</v>
      </c>
      <c r="B30" s="4" t="s">
        <v>51</v>
      </c>
      <c r="C30" s="5" t="n">
        <v>6.5</v>
      </c>
      <c r="E30" s="5" t="n">
        <v>-5</v>
      </c>
      <c r="F30" s="4" t="s">
        <v>10</v>
      </c>
      <c r="G30" s="4" t="s">
        <v>93</v>
      </c>
      <c r="H30" s="4" t="s">
        <v>94</v>
      </c>
      <c r="I30" s="6" t="s">
        <v>13</v>
      </c>
    </row>
    <row r="31" spans="1:9">
      <c r="A31" s="4" t="s">
        <v>95</v>
      </c>
      <c r="B31" s="4" t="s">
        <v>77</v>
      </c>
      <c r="C31" s="5" t="n">
        <v>15.5</v>
      </c>
      <c r="E31" s="5" t="n">
        <v>-3</v>
      </c>
      <c r="F31" s="4" t="s">
        <v>10</v>
      </c>
      <c r="G31" s="4" t="s">
        <v>96</v>
      </c>
      <c r="H31" s="4" t="s">
        <v>97</v>
      </c>
      <c r="I31" s="6" t="s">
        <v>13</v>
      </c>
    </row>
    <row r="32" spans="1:9">
      <c r="A32" s="4" t="s">
        <v>98</v>
      </c>
      <c r="B32" s="4" t="s">
        <v>77</v>
      </c>
      <c r="C32" s="5" t="n">
        <v>15.5</v>
      </c>
      <c r="E32" s="5" t="n">
        <v>-6</v>
      </c>
      <c r="F32" s="4" t="s">
        <v>10</v>
      </c>
      <c r="G32" s="4" t="s">
        <v>99</v>
      </c>
      <c r="H32" s="4" t="s">
        <v>100</v>
      </c>
      <c r="I32" s="6" t="s">
        <v>13</v>
      </c>
    </row>
    <row r="33" spans="1:9">
      <c r="A33" s="4" t="s">
        <v>101</v>
      </c>
      <c r="B33" s="4" t="s">
        <v>77</v>
      </c>
      <c r="C33" s="5" t="n">
        <v>15.5</v>
      </c>
      <c r="E33" s="5" t="n">
        <v>-11</v>
      </c>
      <c r="F33" s="4" t="s">
        <v>10</v>
      </c>
      <c r="G33" s="4" t="s">
        <v>102</v>
      </c>
      <c r="H33" s="4" t="s">
        <v>103</v>
      </c>
      <c r="I33" s="6" t="s">
        <v>13</v>
      </c>
    </row>
    <row r="34" spans="1:9">
      <c r="A34" s="4" t="s">
        <v>104</v>
      </c>
      <c r="B34" s="4" t="s">
        <v>77</v>
      </c>
      <c r="C34" s="5" t="n">
        <v>15.5</v>
      </c>
      <c r="E34" s="5" t="n">
        <v>-4</v>
      </c>
      <c r="F34" s="4" t="s">
        <v>10</v>
      </c>
      <c r="G34" s="4" t="s">
        <v>105</v>
      </c>
      <c r="H34" s="4" t="s">
        <v>106</v>
      </c>
      <c r="I34" s="6" t="s">
        <v>13</v>
      </c>
    </row>
    <row r="35" spans="1:9">
      <c r="A35" s="4" t="s">
        <v>107</v>
      </c>
      <c r="B35" s="4" t="s">
        <v>77</v>
      </c>
      <c r="C35" s="5" t="n">
        <v>5</v>
      </c>
      <c r="E35" s="5" t="n">
        <v>-8</v>
      </c>
      <c r="F35" s="4" t="s">
        <v>10</v>
      </c>
      <c r="G35" s="4" t="s">
        <v>108</v>
      </c>
      <c r="H35" s="4" t="s">
        <v>109</v>
      </c>
      <c r="I35" s="6" t="s">
        <v>13</v>
      </c>
    </row>
    <row r="36" spans="1:9">
      <c r="A36" s="4" t="s">
        <v>110</v>
      </c>
      <c r="B36" s="4" t="s">
        <v>77</v>
      </c>
      <c r="C36" s="5" t="n">
        <v>16</v>
      </c>
      <c r="F36" s="4" t="s">
        <v>10</v>
      </c>
      <c r="G36" s="4" t="s">
        <v>111</v>
      </c>
      <c r="H36" s="4" t="s">
        <v>112</v>
      </c>
      <c r="I36" s="6" t="s">
        <v>13</v>
      </c>
    </row>
    <row r="37" spans="1:9">
      <c r="A37" s="4" t="s">
        <v>113</v>
      </c>
      <c r="B37" s="4" t="s">
        <v>77</v>
      </c>
      <c r="C37" s="5" t="n">
        <v>11.5</v>
      </c>
      <c r="E37" s="5" t="n">
        <v>-1</v>
      </c>
      <c r="F37" s="4" t="s">
        <v>10</v>
      </c>
      <c r="G37" s="4" t="s">
        <v>114</v>
      </c>
      <c r="H37" s="4" t="s">
        <v>115</v>
      </c>
      <c r="I37" s="6" t="s">
        <v>13</v>
      </c>
    </row>
    <row r="38" spans="1:9">
      <c r="A38" s="4" t="s">
        <v>116</v>
      </c>
      <c r="B38" s="4" t="s">
        <v>77</v>
      </c>
      <c r="C38" s="5" t="n">
        <v>11.5</v>
      </c>
      <c r="F38" s="4" t="s">
        <v>10</v>
      </c>
      <c r="G38" s="4" t="s">
        <v>117</v>
      </c>
      <c r="H38" s="4" t="s">
        <v>118</v>
      </c>
      <c r="I38" s="6" t="s">
        <v>13</v>
      </c>
    </row>
    <row r="39" spans="1:9">
      <c r="A39" s="4" t="s">
        <v>119</v>
      </c>
      <c r="B39" s="4" t="s">
        <v>77</v>
      </c>
      <c r="C39" s="5" t="n">
        <v>11.5</v>
      </c>
      <c r="F39" s="4" t="s">
        <v>10</v>
      </c>
      <c r="G39" s="4" t="s">
        <v>120</v>
      </c>
      <c r="H39" s="4" t="s">
        <v>121</v>
      </c>
      <c r="I39" s="6" t="s">
        <v>13</v>
      </c>
    </row>
    <row r="40" spans="1:9">
      <c r="A40" s="4" t="s">
        <v>122</v>
      </c>
      <c r="B40" s="4" t="s">
        <v>77</v>
      </c>
      <c r="C40" s="5" t="n">
        <v>13.5</v>
      </c>
      <c r="D40" s="5" t="n">
        <v>8.1</v>
      </c>
      <c r="E40" s="5" t="n">
        <v>12</v>
      </c>
      <c r="F40" s="4" t="s">
        <v>10</v>
      </c>
      <c r="G40" s="4" t="s">
        <v>123</v>
      </c>
      <c r="H40" s="4" t="s">
        <v>124</v>
      </c>
      <c r="I40" s="6" t="s">
        <v>13</v>
      </c>
    </row>
    <row r="41" spans="1:9">
      <c r="A41" s="4" t="s">
        <v>125</v>
      </c>
      <c r="B41" s="4" t="s">
        <v>77</v>
      </c>
      <c r="C41" s="5" t="n">
        <v>13.5</v>
      </c>
      <c r="E41" s="5" t="n">
        <v>-1</v>
      </c>
      <c r="F41" s="4" t="s">
        <v>10</v>
      </c>
      <c r="G41" s="4" t="s">
        <v>126</v>
      </c>
      <c r="H41" s="4" t="s">
        <v>127</v>
      </c>
      <c r="I41" s="6" t="s">
        <v>13</v>
      </c>
    </row>
    <row r="42" spans="1:9">
      <c r="A42" s="4" t="s">
        <v>128</v>
      </c>
      <c r="B42" s="4" t="s">
        <v>77</v>
      </c>
      <c r="C42" s="5" t="n">
        <v>5</v>
      </c>
      <c r="D42" s="5" t="n">
        <v>2.33</v>
      </c>
      <c r="E42" s="5" t="n">
        <v>20</v>
      </c>
      <c r="F42" s="4" t="s">
        <v>10</v>
      </c>
      <c r="G42" s="4" t="s">
        <v>129</v>
      </c>
      <c r="H42" s="4" t="s">
        <v>130</v>
      </c>
      <c r="I42" s="6" t="s">
        <v>13</v>
      </c>
    </row>
    <row r="43" spans="1:9">
      <c r="A43" s="4" t="s">
        <v>131</v>
      </c>
      <c r="B43" s="4" t="s">
        <v>77</v>
      </c>
      <c r="C43" s="5" t="n">
        <v>6</v>
      </c>
      <c r="D43" s="5" t="n">
        <v>3.98</v>
      </c>
      <c r="E43" s="5" t="n">
        <v>11</v>
      </c>
      <c r="F43" s="4" t="s">
        <v>10</v>
      </c>
      <c r="G43" s="4" t="s">
        <v>132</v>
      </c>
      <c r="H43" s="4" t="s">
        <v>133</v>
      </c>
      <c r="I43" s="6" t="s">
        <v>13</v>
      </c>
    </row>
    <row r="44" spans="1:9">
      <c r="A44" s="4" t="s">
        <v>134</v>
      </c>
      <c r="B44" s="4" t="s">
        <v>77</v>
      </c>
      <c r="C44" s="5" t="n">
        <v>10.5</v>
      </c>
      <c r="E44" s="5" t="n">
        <v>12</v>
      </c>
      <c r="F44" s="4" t="s">
        <v>10</v>
      </c>
      <c r="G44" s="4" t="s">
        <v>135</v>
      </c>
      <c r="H44" s="4" t="s">
        <v>136</v>
      </c>
      <c r="I44" s="6" t="s">
        <v>13</v>
      </c>
    </row>
    <row r="45" spans="1:9">
      <c r="A45" s="4" t="s">
        <v>137</v>
      </c>
      <c r="B45" s="4" t="s">
        <v>77</v>
      </c>
      <c r="C45" s="5" t="n">
        <v>10.5</v>
      </c>
      <c r="E45" s="5" t="n">
        <v>-8</v>
      </c>
      <c r="F45" s="4" t="s">
        <v>10</v>
      </c>
      <c r="G45" s="4" t="s">
        <v>138</v>
      </c>
      <c r="H45" s="4" t="s">
        <v>139</v>
      </c>
      <c r="I45" s="6" t="s">
        <v>13</v>
      </c>
    </row>
    <row r="46" spans="1:9">
      <c r="A46" s="4" t="s">
        <v>140</v>
      </c>
      <c r="B46" s="4" t="s">
        <v>77</v>
      </c>
      <c r="C46" s="5" t="n">
        <v>12.9</v>
      </c>
      <c r="E46" s="5" t="n">
        <v>-12</v>
      </c>
      <c r="F46" s="4" t="s">
        <v>10</v>
      </c>
      <c r="G46" s="4" t="s">
        <v>141</v>
      </c>
      <c r="H46" s="4" t="s">
        <v>142</v>
      </c>
      <c r="I46" s="6" t="s">
        <v>13</v>
      </c>
    </row>
    <row r="47" spans="1:9">
      <c r="A47" s="4" t="s">
        <v>143</v>
      </c>
      <c r="B47" s="4" t="s">
        <v>77</v>
      </c>
      <c r="C47" s="5" t="n">
        <v>12.9</v>
      </c>
      <c r="E47" s="5" t="n">
        <v>-7</v>
      </c>
      <c r="F47" s="4" t="s">
        <v>10</v>
      </c>
      <c r="G47" s="4" t="s">
        <v>144</v>
      </c>
      <c r="H47" s="4" t="s">
        <v>145</v>
      </c>
      <c r="I47" s="6" t="s">
        <v>13</v>
      </c>
    </row>
    <row r="48" spans="1:9">
      <c r="A48" s="4" t="s">
        <v>146</v>
      </c>
      <c r="B48" s="4" t="s">
        <v>77</v>
      </c>
      <c r="C48" s="5" t="n">
        <v>12.9</v>
      </c>
      <c r="E48" s="5" t="n">
        <v>-2</v>
      </c>
      <c r="F48" s="4" t="s">
        <v>10</v>
      </c>
      <c r="G48" s="4" t="s">
        <v>147</v>
      </c>
      <c r="H48" s="4" t="s">
        <v>148</v>
      </c>
      <c r="I48" s="6" t="s">
        <v>13</v>
      </c>
    </row>
    <row r="49" spans="1:9">
      <c r="A49" s="4" t="s">
        <v>149</v>
      </c>
      <c r="B49" s="4" t="s">
        <v>77</v>
      </c>
      <c r="C49" s="5" t="n">
        <v>7.16</v>
      </c>
      <c r="E49" s="5" t="n">
        <v>-13</v>
      </c>
      <c r="F49" s="4" t="s">
        <v>10</v>
      </c>
      <c r="G49" s="4" t="s">
        <v>150</v>
      </c>
      <c r="H49" s="4" t="s">
        <v>151</v>
      </c>
      <c r="I49" s="6" t="s">
        <v>13</v>
      </c>
    </row>
    <row r="50" spans="1:9">
      <c r="A50" s="4" t="s">
        <v>152</v>
      </c>
      <c r="B50" s="4" t="s">
        <v>77</v>
      </c>
      <c r="C50" s="5" t="n">
        <v>12.9</v>
      </c>
      <c r="E50" s="5" t="n">
        <v>-7</v>
      </c>
      <c r="F50" s="4" t="s">
        <v>10</v>
      </c>
      <c r="G50" s="4" t="s">
        <v>153</v>
      </c>
      <c r="H50" s="4" t="s">
        <v>154</v>
      </c>
      <c r="I50" s="6" t="s">
        <v>13</v>
      </c>
    </row>
    <row r="51" spans="1:9">
      <c r="A51" s="4" t="s">
        <v>155</v>
      </c>
      <c r="B51" s="4" t="s">
        <v>77</v>
      </c>
      <c r="C51" s="5" t="n">
        <v>16</v>
      </c>
      <c r="E51" s="5" t="n">
        <v>-2</v>
      </c>
      <c r="F51" s="4" t="s">
        <v>10</v>
      </c>
      <c r="G51" s="4" t="s">
        <v>156</v>
      </c>
      <c r="H51" s="4" t="s">
        <v>157</v>
      </c>
      <c r="I51" s="6" t="s">
        <v>13</v>
      </c>
    </row>
    <row r="52" spans="1:9">
      <c r="A52" s="4" t="s">
        <v>158</v>
      </c>
      <c r="B52" s="4" t="s">
        <v>77</v>
      </c>
      <c r="C52" s="5" t="n">
        <v>16</v>
      </c>
      <c r="E52" s="5" t="n">
        <v>-7</v>
      </c>
      <c r="F52" s="4" t="s">
        <v>10</v>
      </c>
      <c r="G52" s="4" t="s">
        <v>159</v>
      </c>
      <c r="H52" s="4" t="s">
        <v>160</v>
      </c>
      <c r="I52" s="6" t="s">
        <v>13</v>
      </c>
    </row>
    <row r="53" spans="1:9">
      <c r="A53" s="4" t="s">
        <v>161</v>
      </c>
      <c r="B53" s="4" t="s">
        <v>77</v>
      </c>
      <c r="C53" s="5" t="n">
        <v>5.75</v>
      </c>
      <c r="E53" s="5" t="n">
        <v>-11</v>
      </c>
      <c r="F53" s="4" t="s">
        <v>10</v>
      </c>
      <c r="G53" s="4" t="s">
        <v>162</v>
      </c>
      <c r="H53" s="4" t="s">
        <v>163</v>
      </c>
      <c r="I53" s="6" t="s">
        <v>13</v>
      </c>
    </row>
    <row r="54" spans="1:9">
      <c r="A54" s="4" t="s">
        <v>164</v>
      </c>
      <c r="B54" s="4" t="s">
        <v>77</v>
      </c>
      <c r="C54" s="5" t="n">
        <v>15</v>
      </c>
      <c r="E54" s="5" t="n">
        <v>-17</v>
      </c>
      <c r="F54" s="4" t="s">
        <v>10</v>
      </c>
      <c r="G54" s="4" t="s">
        <v>165</v>
      </c>
      <c r="H54" s="4" t="s">
        <v>166</v>
      </c>
      <c r="I54" s="6" t="s">
        <v>13</v>
      </c>
    </row>
    <row r="55" spans="1:9">
      <c r="A55" s="4" t="s">
        <v>167</v>
      </c>
      <c r="B55" s="4" t="s">
        <v>77</v>
      </c>
      <c r="C55" s="5" t="n">
        <v>5.75</v>
      </c>
      <c r="E55" s="5" t="n">
        <v>-1</v>
      </c>
      <c r="F55" s="4" t="s">
        <v>10</v>
      </c>
      <c r="G55" s="4" t="s">
        <v>168</v>
      </c>
      <c r="H55" s="4" t="s">
        <v>169</v>
      </c>
      <c r="I55" s="6" t="s">
        <v>13</v>
      </c>
    </row>
    <row r="56" spans="1:9">
      <c r="A56" s="4" t="s">
        <v>170</v>
      </c>
      <c r="B56" s="4" t="s">
        <v>77</v>
      </c>
      <c r="C56" s="5" t="n">
        <v>15</v>
      </c>
      <c r="E56" s="5" t="n">
        <v>-8</v>
      </c>
      <c r="F56" s="4" t="s">
        <v>10</v>
      </c>
      <c r="G56" s="4" t="s">
        <v>171</v>
      </c>
      <c r="H56" s="4" t="s">
        <v>172</v>
      </c>
      <c r="I56" s="6" t="s">
        <v>13</v>
      </c>
    </row>
    <row r="57" spans="1:9">
      <c r="A57" s="4" t="s">
        <v>173</v>
      </c>
      <c r="B57" s="4" t="s">
        <v>77</v>
      </c>
      <c r="C57" s="5" t="n">
        <v>15</v>
      </c>
      <c r="E57" s="5" t="n">
        <v>-7</v>
      </c>
      <c r="F57" s="4" t="s">
        <v>10</v>
      </c>
      <c r="G57" s="4" t="s">
        <v>174</v>
      </c>
      <c r="H57" s="4" t="s">
        <v>175</v>
      </c>
      <c r="I57" s="6" t="s">
        <v>13</v>
      </c>
    </row>
    <row r="58" spans="1:9">
      <c r="A58" s="4" t="s">
        <v>176</v>
      </c>
      <c r="B58" s="4" t="s">
        <v>77</v>
      </c>
      <c r="C58" s="5" t="n">
        <v>8.56</v>
      </c>
      <c r="E58" s="5" t="n">
        <v>-11</v>
      </c>
      <c r="F58" s="4" t="s">
        <v>10</v>
      </c>
      <c r="G58" s="4" t="s">
        <v>177</v>
      </c>
      <c r="H58" s="4" t="s">
        <v>178</v>
      </c>
      <c r="I58" s="6" t="s">
        <v>13</v>
      </c>
    </row>
    <row r="59" spans="1:9">
      <c r="A59" s="4" t="s">
        <v>179</v>
      </c>
      <c r="B59" s="4" t="s">
        <v>77</v>
      </c>
      <c r="C59" s="5" t="n">
        <v>8.56</v>
      </c>
      <c r="E59" s="5" t="n">
        <v>-10</v>
      </c>
      <c r="F59" s="4" t="s">
        <v>10</v>
      </c>
      <c r="G59" s="4" t="s">
        <v>180</v>
      </c>
      <c r="H59" s="4" t="s">
        <v>181</v>
      </c>
      <c r="I59" s="6" t="s">
        <v>13</v>
      </c>
    </row>
    <row r="60" spans="1:9">
      <c r="A60" s="4" t="s">
        <v>182</v>
      </c>
      <c r="B60" s="4" t="s">
        <v>183</v>
      </c>
      <c r="C60" s="5" t="n">
        <v>36</v>
      </c>
      <c r="E60" s="5" t="n">
        <v>1</v>
      </c>
      <c r="F60" s="4" t="s">
        <v>10</v>
      </c>
      <c r="G60" s="4" t="s">
        <v>184</v>
      </c>
      <c r="H60" s="4" t="s">
        <v>185</v>
      </c>
      <c r="I60" s="6" t="s">
        <v>13</v>
      </c>
    </row>
    <row r="61" spans="1:9">
      <c r="A61" s="4" t="s">
        <v>186</v>
      </c>
      <c r="B61" s="4" t="s">
        <v>51</v>
      </c>
      <c r="C61" s="5" t="n">
        <v>13.5</v>
      </c>
      <c r="E61" s="5" t="n">
        <v>-11</v>
      </c>
      <c r="F61" s="4" t="s">
        <v>10</v>
      </c>
      <c r="G61" s="4" t="s">
        <v>187</v>
      </c>
      <c r="H61" s="4" t="s">
        <v>188</v>
      </c>
      <c r="I61" s="6" t="s">
        <v>13</v>
      </c>
    </row>
    <row r="62" spans="1:9">
      <c r="A62" s="4" t="s">
        <v>189</v>
      </c>
      <c r="B62" s="4" t="s">
        <v>51</v>
      </c>
      <c r="C62" s="5" t="n">
        <v>13.5</v>
      </c>
      <c r="E62" s="5" t="n">
        <v>-2</v>
      </c>
      <c r="F62" s="4" t="s">
        <v>10</v>
      </c>
      <c r="G62" s="4" t="s">
        <v>190</v>
      </c>
      <c r="H62" s="4" t="s">
        <v>191</v>
      </c>
      <c r="I62" s="6" t="s">
        <v>13</v>
      </c>
    </row>
    <row r="63" spans="1:9">
      <c r="A63" s="4" t="s">
        <v>192</v>
      </c>
      <c r="B63" s="4" t="s">
        <v>51</v>
      </c>
      <c r="C63" s="5" t="n">
        <v>13.5</v>
      </c>
      <c r="E63" s="5" t="n">
        <v>-2</v>
      </c>
      <c r="F63" s="4" t="s">
        <v>10</v>
      </c>
      <c r="G63" s="4" t="s">
        <v>193</v>
      </c>
      <c r="H63" s="4" t="s">
        <v>194</v>
      </c>
      <c r="I63" s="6" t="s">
        <v>13</v>
      </c>
    </row>
    <row r="64" spans="1:9">
      <c r="A64" s="4" t="s">
        <v>195</v>
      </c>
      <c r="B64" s="4" t="s">
        <v>51</v>
      </c>
      <c r="C64" s="5" t="n">
        <v>13.5</v>
      </c>
      <c r="E64" s="5" t="n">
        <v>4</v>
      </c>
      <c r="F64" s="4" t="s">
        <v>10</v>
      </c>
      <c r="G64" s="4" t="s">
        <v>196</v>
      </c>
      <c r="H64" s="4" t="s">
        <v>197</v>
      </c>
      <c r="I64" s="6" t="s">
        <v>13</v>
      </c>
    </row>
    <row r="65" spans="1:9">
      <c r="A65" s="4" t="s">
        <v>198</v>
      </c>
      <c r="B65" s="4" t="s">
        <v>51</v>
      </c>
      <c r="C65" s="5" t="n">
        <v>13.5</v>
      </c>
      <c r="E65" s="5" t="n">
        <v>5</v>
      </c>
      <c r="F65" s="4" t="s">
        <v>10</v>
      </c>
      <c r="G65" s="4" t="s">
        <v>199</v>
      </c>
      <c r="H65" s="4" t="s">
        <v>200</v>
      </c>
      <c r="I65" s="6" t="s">
        <v>13</v>
      </c>
    </row>
    <row r="66" spans="1:9">
      <c r="A66" s="4" t="s">
        <v>201</v>
      </c>
      <c r="B66" s="4" t="s">
        <v>51</v>
      </c>
      <c r="C66" s="5" t="n">
        <v>13.5</v>
      </c>
      <c r="E66" s="5" t="n">
        <v>7</v>
      </c>
      <c r="F66" s="4" t="s">
        <v>10</v>
      </c>
      <c r="G66" s="4" t="s">
        <v>202</v>
      </c>
      <c r="H66" s="4" t="s">
        <v>203</v>
      </c>
      <c r="I66" s="6" t="s">
        <v>13</v>
      </c>
    </row>
    <row r="67" spans="1:9">
      <c r="A67" s="4" t="s">
        <v>204</v>
      </c>
      <c r="B67" s="4" t="s">
        <v>51</v>
      </c>
      <c r="C67" s="5" t="n">
        <v>13.5</v>
      </c>
      <c r="E67" s="5" t="n">
        <v>4</v>
      </c>
      <c r="F67" s="4" t="s">
        <v>10</v>
      </c>
      <c r="G67" s="4" t="s">
        <v>205</v>
      </c>
      <c r="H67" s="4" t="s">
        <v>206</v>
      </c>
      <c r="I67" s="6" t="s">
        <v>13</v>
      </c>
    </row>
    <row r="68" spans="1:9">
      <c r="A68" s="4" t="s">
        <v>207</v>
      </c>
      <c r="B68" s="4" t="s">
        <v>51</v>
      </c>
      <c r="C68" s="5" t="n">
        <v>13.5</v>
      </c>
      <c r="E68" s="5" t="n">
        <v>-9</v>
      </c>
      <c r="F68" s="4" t="s">
        <v>10</v>
      </c>
      <c r="G68" s="4" t="s">
        <v>208</v>
      </c>
      <c r="H68" s="4" t="s">
        <v>209</v>
      </c>
      <c r="I68" s="6" t="s">
        <v>13</v>
      </c>
    </row>
    <row r="69" spans="1:9">
      <c r="A69" s="4" t="s">
        <v>210</v>
      </c>
      <c r="B69" s="4" t="s">
        <v>14</v>
      </c>
      <c r="C69" s="5" t="n">
        <v>5</v>
      </c>
      <c r="D69" s="5" t="n">
        <v>2.82</v>
      </c>
      <c r="F69" s="4" t="s">
        <v>10</v>
      </c>
      <c r="G69" s="4" t="s">
        <v>211</v>
      </c>
      <c r="H69" s="4" t="s">
        <v>212</v>
      </c>
      <c r="I69" s="6" t="s">
        <v>13</v>
      </c>
    </row>
    <row r="70" spans="1:9">
      <c r="A70" s="4" t="s">
        <v>213</v>
      </c>
      <c r="B70" s="4" t="s">
        <v>77</v>
      </c>
      <c r="C70" s="5" t="n">
        <v>13</v>
      </c>
      <c r="E70" s="5" t="n">
        <v>-5</v>
      </c>
      <c r="F70" s="4" t="s">
        <v>10</v>
      </c>
      <c r="G70" s="4" t="s">
        <v>214</v>
      </c>
      <c r="H70" s="4" t="s">
        <v>215</v>
      </c>
      <c r="I70" s="6" t="s">
        <v>13</v>
      </c>
    </row>
    <row r="71" spans="1:9">
      <c r="A71" s="4" t="s">
        <v>216</v>
      </c>
      <c r="B71" s="4" t="s">
        <v>77</v>
      </c>
      <c r="C71" s="5" t="n">
        <v>13</v>
      </c>
      <c r="E71" s="5" t="n">
        <v>-2</v>
      </c>
      <c r="F71" s="4" t="s">
        <v>10</v>
      </c>
      <c r="G71" s="4" t="s">
        <v>217</v>
      </c>
      <c r="H71" s="4" t="s">
        <v>218</v>
      </c>
      <c r="I71" s="6" t="s">
        <v>13</v>
      </c>
    </row>
    <row r="72" spans="1:9">
      <c r="A72" s="4" t="s">
        <v>219</v>
      </c>
      <c r="B72" s="4" t="s">
        <v>77</v>
      </c>
      <c r="C72" s="5" t="n">
        <v>13</v>
      </c>
      <c r="E72" s="5" t="n">
        <v>-3</v>
      </c>
      <c r="F72" s="4" t="s">
        <v>10</v>
      </c>
      <c r="G72" s="4" t="s">
        <v>220</v>
      </c>
      <c r="H72" s="4" t="s">
        <v>221</v>
      </c>
      <c r="I72" s="6" t="s">
        <v>13</v>
      </c>
    </row>
    <row r="73" spans="1:9">
      <c r="A73" s="4" t="s">
        <v>222</v>
      </c>
      <c r="B73" s="4" t="s">
        <v>77</v>
      </c>
      <c r="C73" s="5" t="n">
        <v>4</v>
      </c>
      <c r="E73" s="5" t="n">
        <v>-2</v>
      </c>
      <c r="F73" s="4" t="s">
        <v>10</v>
      </c>
      <c r="G73" s="4" t="s">
        <v>223</v>
      </c>
      <c r="H73" s="4" t="s">
        <v>224</v>
      </c>
      <c r="I73" s="6" t="s">
        <v>13</v>
      </c>
    </row>
    <row r="74" spans="1:9">
      <c r="A74" s="4" t="s">
        <v>225</v>
      </c>
      <c r="B74" s="4" t="s">
        <v>77</v>
      </c>
      <c r="C74" s="5" t="n">
        <v>4.5</v>
      </c>
      <c r="D74" s="5" t="n">
        <v>2.35</v>
      </c>
      <c r="E74" s="5" t="n">
        <v>25</v>
      </c>
      <c r="F74" s="4" t="s">
        <v>10</v>
      </c>
      <c r="G74" s="4" t="s">
        <v>226</v>
      </c>
      <c r="H74" s="4" t="s">
        <v>227</v>
      </c>
      <c r="I74" s="6" t="s">
        <v>13</v>
      </c>
    </row>
    <row r="75" spans="1:9">
      <c r="A75" s="4" t="s">
        <v>228</v>
      </c>
      <c r="B75" s="4" t="s">
        <v>77</v>
      </c>
      <c r="C75" s="5" t="n">
        <v>7</v>
      </c>
      <c r="D75" s="5" t="n">
        <v>3.32</v>
      </c>
      <c r="E75" s="5" t="n">
        <v>33</v>
      </c>
      <c r="F75" s="4" t="s">
        <v>10</v>
      </c>
      <c r="G75" s="4" t="s">
        <v>229</v>
      </c>
      <c r="H75" s="4" t="s">
        <v>230</v>
      </c>
      <c r="I75" s="6" t="s">
        <v>13</v>
      </c>
    </row>
    <row r="76" spans="1:9">
      <c r="A76" s="4" t="s">
        <v>231</v>
      </c>
      <c r="B76" s="4" t="s">
        <v>77</v>
      </c>
      <c r="C76" s="5" t="n">
        <v>6.5</v>
      </c>
      <c r="E76" s="5" t="n">
        <v>9</v>
      </c>
      <c r="F76" s="4" t="s">
        <v>10</v>
      </c>
      <c r="G76" s="4" t="s">
        <v>232</v>
      </c>
      <c r="H76" s="4" t="s">
        <v>233</v>
      </c>
      <c r="I76" s="6" t="s">
        <v>13</v>
      </c>
    </row>
    <row r="77" spans="1:9">
      <c r="A77" s="4" t="s">
        <v>234</v>
      </c>
      <c r="B77" s="4" t="s">
        <v>77</v>
      </c>
      <c r="C77" s="5" t="n">
        <v>4.75</v>
      </c>
      <c r="E77" s="5" t="n">
        <v>8</v>
      </c>
      <c r="F77" s="4" t="s">
        <v>10</v>
      </c>
      <c r="G77" s="4" t="s">
        <v>235</v>
      </c>
      <c r="H77" s="4" t="s">
        <v>236</v>
      </c>
      <c r="I77" s="6" t="s">
        <v>13</v>
      </c>
    </row>
    <row r="78" spans="1:9">
      <c r="A78" s="4" t="s">
        <v>237</v>
      </c>
      <c r="B78" s="4" t="s">
        <v>77</v>
      </c>
      <c r="C78" s="5" t="n">
        <v>6</v>
      </c>
      <c r="E78" s="5" t="n">
        <v>-8</v>
      </c>
      <c r="F78" s="4" t="s">
        <v>10</v>
      </c>
      <c r="G78" s="4" t="s">
        <v>238</v>
      </c>
      <c r="H78" s="4" t="s">
        <v>239</v>
      </c>
      <c r="I78" s="6" t="s">
        <v>13</v>
      </c>
    </row>
    <row r="79" spans="1:9">
      <c r="A79" s="4" t="s">
        <v>240</v>
      </c>
      <c r="B79" s="4" t="s">
        <v>77</v>
      </c>
      <c r="C79" s="5" t="n">
        <v>6</v>
      </c>
      <c r="E79" s="5" t="n">
        <v>-4</v>
      </c>
      <c r="F79" s="4" t="s">
        <v>10</v>
      </c>
      <c r="G79" s="4" t="s">
        <v>241</v>
      </c>
      <c r="H79" s="4" t="s">
        <v>242</v>
      </c>
      <c r="I79" s="6" t="s">
        <v>13</v>
      </c>
    </row>
    <row r="80" spans="1:9">
      <c r="A80" s="4" t="s">
        <v>243</v>
      </c>
      <c r="B80" s="4" t="s">
        <v>77</v>
      </c>
      <c r="C80" s="5" t="n">
        <v>6</v>
      </c>
      <c r="E80" s="5" t="n">
        <v>-11</v>
      </c>
      <c r="F80" s="4" t="s">
        <v>10</v>
      </c>
      <c r="G80" s="4" t="s">
        <v>244</v>
      </c>
      <c r="H80" s="4" t="s">
        <v>245</v>
      </c>
      <c r="I80" s="6" t="s">
        <v>13</v>
      </c>
    </row>
    <row r="81" spans="1:9">
      <c r="A81" s="4" t="s">
        <v>246</v>
      </c>
      <c r="B81" s="4" t="s">
        <v>77</v>
      </c>
      <c r="C81" s="5" t="n">
        <v>5.9</v>
      </c>
      <c r="D81" s="5" t="n">
        <v>2.44</v>
      </c>
      <c r="E81" s="5" t="n">
        <v>21</v>
      </c>
      <c r="F81" s="4" t="s">
        <v>10</v>
      </c>
      <c r="G81" s="4" t="s">
        <v>247</v>
      </c>
      <c r="H81" s="4" t="s">
        <v>248</v>
      </c>
      <c r="I81" s="6" t="s">
        <v>13</v>
      </c>
    </row>
    <row r="82" spans="1:9">
      <c r="A82" s="4" t="s">
        <v>249</v>
      </c>
      <c r="B82" s="4" t="s">
        <v>77</v>
      </c>
      <c r="C82" s="5" t="n">
        <v>5</v>
      </c>
      <c r="E82" s="5" t="n">
        <v>19</v>
      </c>
      <c r="F82" s="4" t="s">
        <v>10</v>
      </c>
      <c r="G82" s="4" t="s">
        <v>250</v>
      </c>
      <c r="H82" s="4" t="s">
        <v>251</v>
      </c>
      <c r="I82" s="6" t="s">
        <v>13</v>
      </c>
    </row>
    <row r="83" spans="1:9">
      <c r="A83" s="4" t="s">
        <v>252</v>
      </c>
      <c r="B83" s="4" t="s">
        <v>77</v>
      </c>
      <c r="C83" s="5" t="n">
        <v>3.75</v>
      </c>
      <c r="E83" s="5" t="n">
        <v>-5</v>
      </c>
      <c r="F83" s="4" t="s">
        <v>10</v>
      </c>
      <c r="G83" s="4" t="s">
        <v>253</v>
      </c>
      <c r="H83" s="4" t="s">
        <v>254</v>
      </c>
      <c r="I83" s="6" t="s">
        <v>13</v>
      </c>
    </row>
    <row r="84" spans="1:9">
      <c r="A84" s="4" t="s">
        <v>255</v>
      </c>
      <c r="B84" s="4" t="s">
        <v>77</v>
      </c>
      <c r="C84" s="5" t="n">
        <v>3.75</v>
      </c>
      <c r="E84" s="5" t="n">
        <v>-13</v>
      </c>
      <c r="F84" s="4" t="s">
        <v>10</v>
      </c>
      <c r="G84" s="4" t="s">
        <v>256</v>
      </c>
      <c r="H84" s="4" t="s">
        <v>257</v>
      </c>
      <c r="I84" s="6" t="s">
        <v>13</v>
      </c>
    </row>
    <row r="85" spans="1:9">
      <c r="A85" s="4" t="s">
        <v>258</v>
      </c>
      <c r="B85" s="4" t="s">
        <v>77</v>
      </c>
      <c r="C85" s="5" t="n">
        <v>3.75</v>
      </c>
      <c r="E85" s="5" t="n">
        <v>-2</v>
      </c>
      <c r="F85" s="4" t="s">
        <v>10</v>
      </c>
      <c r="G85" s="4" t="s">
        <v>259</v>
      </c>
      <c r="H85" s="4" t="s">
        <v>260</v>
      </c>
      <c r="I85" s="6" t="s">
        <v>13</v>
      </c>
    </row>
    <row r="86" spans="1:9">
      <c r="A86" s="4" t="s">
        <v>261</v>
      </c>
      <c r="B86" s="4" t="s">
        <v>262</v>
      </c>
      <c r="C86" s="5" t="n">
        <v>56.72</v>
      </c>
      <c r="D86" s="5" t="n">
        <v>28.36</v>
      </c>
      <c r="E86" s="5" t="n">
        <v>2.59</v>
      </c>
      <c r="F86" s="4" t="s">
        <v>263</v>
      </c>
      <c r="G86" s="4" t="s">
        <v>264</v>
      </c>
      <c r="H86" s="4" t="s">
        <v>265</v>
      </c>
      <c r="I86" s="6" t="s">
        <v>13</v>
      </c>
    </row>
    <row r="87" spans="1:9">
      <c r="A87" s="4" t="s">
        <v>266</v>
      </c>
      <c r="B87" s="4" t="s">
        <v>262</v>
      </c>
      <c r="C87" s="5" t="n">
        <v>56.72</v>
      </c>
      <c r="D87" s="5" t="n">
        <v>28.36</v>
      </c>
      <c r="E87" s="5" t="n">
        <v>3.42</v>
      </c>
      <c r="F87" s="4" t="s">
        <v>263</v>
      </c>
      <c r="G87" s="4" t="s">
        <v>267</v>
      </c>
      <c r="H87" s="4" t="s">
        <v>268</v>
      </c>
      <c r="I87" s="6" t="s">
        <v>13</v>
      </c>
    </row>
    <row r="88" spans="1:9">
      <c r="A88" s="4" t="s">
        <v>269</v>
      </c>
      <c r="B88" s="4" t="s">
        <v>14</v>
      </c>
      <c r="C88" s="5" t="n">
        <v>6.9</v>
      </c>
      <c r="D88" s="5" t="n">
        <v>1.47</v>
      </c>
      <c r="F88" s="4" t="s">
        <v>10</v>
      </c>
      <c r="G88" s="4" t="s">
        <v>270</v>
      </c>
      <c r="H88" s="4" t="s">
        <v>271</v>
      </c>
      <c r="I88" s="6" t="s">
        <v>13</v>
      </c>
    </row>
    <row r="89" spans="1:9">
      <c r="A89" s="4" t="s">
        <v>272</v>
      </c>
      <c r="B89" s="4" t="s">
        <v>14</v>
      </c>
      <c r="C89" s="5" t="n">
        <v>6.9</v>
      </c>
      <c r="D89" s="5" t="n">
        <v>1.55</v>
      </c>
      <c r="F89" s="4" t="s">
        <v>10</v>
      </c>
      <c r="G89" s="4" t="s">
        <v>273</v>
      </c>
      <c r="H89" s="4" t="s">
        <v>274</v>
      </c>
      <c r="I89" s="6" t="s">
        <v>13</v>
      </c>
    </row>
    <row r="90" spans="1:9">
      <c r="A90" s="4" t="s">
        <v>275</v>
      </c>
      <c r="B90" s="4" t="s">
        <v>77</v>
      </c>
      <c r="C90" s="5" t="n">
        <v>5</v>
      </c>
      <c r="D90" s="5" t="n">
        <v>2.5</v>
      </c>
      <c r="E90" s="5" t="n">
        <v>17</v>
      </c>
      <c r="F90" s="4" t="s">
        <v>10</v>
      </c>
      <c r="G90" s="4" t="s">
        <v>276</v>
      </c>
      <c r="H90" s="4" t="s">
        <v>277</v>
      </c>
      <c r="I90" s="6" t="s">
        <v>13</v>
      </c>
    </row>
    <row r="91" spans="1:9">
      <c r="A91" s="4" t="s">
        <v>278</v>
      </c>
      <c r="B91" s="4" t="s">
        <v>14</v>
      </c>
      <c r="C91" s="5" t="n">
        <v>10.9</v>
      </c>
      <c r="D91" s="5" t="n">
        <v>5.49</v>
      </c>
      <c r="F91" s="4" t="s">
        <v>10</v>
      </c>
      <c r="G91" s="4" t="s">
        <v>279</v>
      </c>
      <c r="H91" s="4" t="s">
        <v>280</v>
      </c>
      <c r="I91" s="6" t="s">
        <v>13</v>
      </c>
    </row>
    <row r="92" spans="1:9">
      <c r="A92" s="4" t="s">
        <v>281</v>
      </c>
      <c r="B92" s="4" t="s">
        <v>14</v>
      </c>
      <c r="C92" s="5" t="n">
        <v>6.9</v>
      </c>
      <c r="D92" s="5" t="n">
        <v>0.86</v>
      </c>
      <c r="F92" s="4" t="s">
        <v>10</v>
      </c>
      <c r="G92" s="4" t="s">
        <v>282</v>
      </c>
      <c r="H92" s="4" t="s">
        <v>283</v>
      </c>
      <c r="I92" s="6" t="s">
        <v>13</v>
      </c>
    </row>
    <row r="93" spans="1:9">
      <c r="A93" s="4" t="s">
        <v>284</v>
      </c>
      <c r="B93" s="4" t="s">
        <v>77</v>
      </c>
      <c r="C93" s="5" t="n">
        <v>16</v>
      </c>
      <c r="E93" s="5" t="n">
        <v>3</v>
      </c>
      <c r="F93" s="4" t="s">
        <v>10</v>
      </c>
      <c r="G93" s="4" t="s">
        <v>285</v>
      </c>
      <c r="H93" s="4" t="s">
        <v>286</v>
      </c>
      <c r="I93" s="6" t="s">
        <v>13</v>
      </c>
    </row>
    <row r="94" spans="1:9">
      <c r="A94" s="4" t="s">
        <v>287</v>
      </c>
      <c r="B94" s="4" t="s">
        <v>14</v>
      </c>
      <c r="C94" s="5" t="n">
        <v>6</v>
      </c>
      <c r="D94" s="5" t="n">
        <v>3.41</v>
      </c>
      <c r="F94" s="4" t="s">
        <v>10</v>
      </c>
      <c r="G94" s="4" t="s">
        <v>288</v>
      </c>
      <c r="H94" s="4" t="s">
        <v>289</v>
      </c>
      <c r="I94" s="6" t="s">
        <v>13</v>
      </c>
    </row>
    <row r="95" spans="1:9">
      <c r="A95" s="4" t="s">
        <v>290</v>
      </c>
      <c r="B95" s="4" t="s">
        <v>14</v>
      </c>
      <c r="C95" s="5" t="n">
        <v>6</v>
      </c>
      <c r="D95" s="5" t="n">
        <v>4.6</v>
      </c>
      <c r="F95" s="4" t="s">
        <v>10</v>
      </c>
      <c r="G95" s="4" t="s">
        <v>291</v>
      </c>
      <c r="H95" s="4" t="s">
        <v>292</v>
      </c>
      <c r="I95" s="6" t="s">
        <v>13</v>
      </c>
    </row>
    <row r="96" spans="1:9">
      <c r="A96" s="4" t="s">
        <v>293</v>
      </c>
      <c r="B96" s="4" t="s">
        <v>14</v>
      </c>
      <c r="C96" s="5" t="n">
        <v>5</v>
      </c>
      <c r="F96" s="4" t="s">
        <v>10</v>
      </c>
      <c r="G96" s="4" t="s">
        <v>294</v>
      </c>
      <c r="H96" s="4" t="s">
        <v>295</v>
      </c>
      <c r="I96" s="6" t="s">
        <v>13</v>
      </c>
    </row>
    <row r="97" spans="1:9">
      <c r="A97" s="4" t="s">
        <v>296</v>
      </c>
      <c r="B97" s="4" t="s">
        <v>77</v>
      </c>
      <c r="C97" s="5" t="n">
        <v>8</v>
      </c>
      <c r="E97" s="5" t="n">
        <v>-13</v>
      </c>
      <c r="F97" s="4" t="s">
        <v>10</v>
      </c>
      <c r="G97" s="4" t="s">
        <v>297</v>
      </c>
      <c r="H97" s="4" t="s">
        <v>298</v>
      </c>
      <c r="I97" s="6" t="s">
        <v>13</v>
      </c>
    </row>
    <row r="98" spans="1:9">
      <c r="A98" s="4" t="s">
        <v>299</v>
      </c>
      <c r="B98" s="4" t="s">
        <v>77</v>
      </c>
      <c r="C98" s="5" t="n">
        <v>4</v>
      </c>
      <c r="D98" s="5" t="n">
        <v>2.34</v>
      </c>
      <c r="E98" s="5" t="n">
        <v>21</v>
      </c>
      <c r="F98" s="4" t="s">
        <v>10</v>
      </c>
      <c r="G98" s="4" t="s">
        <v>300</v>
      </c>
      <c r="H98" s="4" t="s">
        <v>301</v>
      </c>
      <c r="I98" s="6" t="s">
        <v>13</v>
      </c>
    </row>
    <row r="99" spans="1:9">
      <c r="A99" s="4" t="s">
        <v>302</v>
      </c>
      <c r="B99" s="4" t="s">
        <v>183</v>
      </c>
      <c r="C99" s="5" t="n">
        <v>30</v>
      </c>
      <c r="D99" s="5" t="n">
        <v>7.79</v>
      </c>
      <c r="E99" s="5" t="n">
        <v>12</v>
      </c>
      <c r="F99" s="4" t="s">
        <v>10</v>
      </c>
      <c r="G99" s="4" t="s">
        <v>303</v>
      </c>
      <c r="H99" s="4" t="s">
        <v>304</v>
      </c>
      <c r="I99" s="6" t="s">
        <v>13</v>
      </c>
    </row>
    <row r="100" spans="1:9">
      <c r="A100" s="4" t="s">
        <v>305</v>
      </c>
      <c r="B100" s="4" t="s">
        <v>183</v>
      </c>
      <c r="C100" s="5" t="n">
        <v>35.9</v>
      </c>
      <c r="D100" s="5" t="n">
        <v>6</v>
      </c>
      <c r="E100" s="5" t="n">
        <v>8</v>
      </c>
      <c r="F100" s="4" t="s">
        <v>10</v>
      </c>
      <c r="G100" s="4" t="s">
        <v>306</v>
      </c>
      <c r="H100" s="4" t="s">
        <v>307</v>
      </c>
      <c r="I100" s="6" t="s">
        <v>13</v>
      </c>
    </row>
    <row r="101" spans="1:9">
      <c r="A101" s="4">
        <f>="CABO TIPO C "</f>
      </c>
      <c r="B101" s="4" t="s">
        <v>183</v>
      </c>
      <c r="C101" s="5" t="n">
        <v>30</v>
      </c>
      <c r="D101" s="5" t="n">
        <v>18.5</v>
      </c>
      <c r="E101" s="5" t="n">
        <v>4</v>
      </c>
      <c r="F101" s="4" t="s">
        <v>10</v>
      </c>
      <c r="G101" s="4" t="s">
        <v>308</v>
      </c>
      <c r="H101" s="4" t="s">
        <v>309</v>
      </c>
      <c r="I101" s="6" t="s">
        <v>13</v>
      </c>
    </row>
    <row r="102" spans="1:9">
      <c r="A102" s="4" t="s">
        <v>310</v>
      </c>
      <c r="B102" s="4" t="s">
        <v>183</v>
      </c>
      <c r="C102" s="5" t="n">
        <v>40</v>
      </c>
      <c r="E102" s="5" t="n">
        <v>3</v>
      </c>
      <c r="F102" s="4" t="s">
        <v>10</v>
      </c>
      <c r="G102" s="4" t="s">
        <v>311</v>
      </c>
      <c r="H102" s="4" t="s">
        <v>312</v>
      </c>
      <c r="I102" s="6" t="s">
        <v>13</v>
      </c>
    </row>
    <row r="103" spans="1:9">
      <c r="A103" s="4" t="s">
        <v>313</v>
      </c>
      <c r="B103" s="4" t="s">
        <v>183</v>
      </c>
      <c r="C103" s="5" t="n">
        <v>30</v>
      </c>
      <c r="D103" s="5" t="n">
        <v>16.5</v>
      </c>
      <c r="E103" s="5" t="n">
        <v>2</v>
      </c>
      <c r="F103" s="4" t="s">
        <v>10</v>
      </c>
      <c r="G103" s="4" t="s">
        <v>314</v>
      </c>
      <c r="H103" s="4" t="s">
        <v>315</v>
      </c>
      <c r="I103" s="6" t="s">
        <v>13</v>
      </c>
    </row>
    <row r="104" spans="1:9">
      <c r="A104" s="4" t="s">
        <v>316</v>
      </c>
      <c r="B104" s="4" t="s">
        <v>9</v>
      </c>
      <c r="C104" s="5" t="n">
        <v>7.9</v>
      </c>
      <c r="F104" s="4" t="s">
        <v>10</v>
      </c>
      <c r="G104" s="4" t="s">
        <v>317</v>
      </c>
      <c r="H104" s="4" t="s">
        <v>318</v>
      </c>
      <c r="I104" s="6" t="s">
        <v>13</v>
      </c>
    </row>
    <row r="105" spans="1:9">
      <c r="A105" s="4" t="s">
        <v>319</v>
      </c>
      <c r="B105" s="4" t="s">
        <v>9</v>
      </c>
      <c r="C105" s="5" t="n">
        <v>9.9</v>
      </c>
      <c r="F105" s="4" t="s">
        <v>10</v>
      </c>
      <c r="G105" s="4" t="s">
        <v>320</v>
      </c>
      <c r="H105" s="4" t="s">
        <v>321</v>
      </c>
      <c r="I105" s="6" t="s">
        <v>13</v>
      </c>
    </row>
    <row r="106" spans="1:9">
      <c r="A106" s="4" t="s">
        <v>322</v>
      </c>
      <c r="B106" s="4" t="s">
        <v>9</v>
      </c>
      <c r="C106" s="5" t="n">
        <v>10.9</v>
      </c>
      <c r="D106" s="5" t="n">
        <v>0.92</v>
      </c>
      <c r="F106" s="4" t="s">
        <v>10</v>
      </c>
      <c r="G106" s="4" t="s">
        <v>323</v>
      </c>
      <c r="H106" s="4" t="s">
        <v>324</v>
      </c>
      <c r="I106" s="6" t="s">
        <v>13</v>
      </c>
    </row>
    <row r="107" spans="1:9">
      <c r="A107" s="4" t="s">
        <v>325</v>
      </c>
      <c r="B107" s="4" t="s">
        <v>9</v>
      </c>
      <c r="C107" s="5" t="n">
        <v>7.9</v>
      </c>
      <c r="F107" s="4" t="s">
        <v>10</v>
      </c>
      <c r="G107" s="4" t="s">
        <v>326</v>
      </c>
      <c r="H107" s="4" t="s">
        <v>327</v>
      </c>
      <c r="I107" s="6" t="s">
        <v>13</v>
      </c>
    </row>
    <row r="108" spans="1:9">
      <c r="A108" s="4" t="s">
        <v>328</v>
      </c>
      <c r="B108" s="4" t="s">
        <v>9</v>
      </c>
      <c r="C108" s="5" t="n">
        <v>8.9</v>
      </c>
      <c r="D108" s="5" t="n">
        <v>0.15</v>
      </c>
      <c r="F108" s="4" t="s">
        <v>10</v>
      </c>
      <c r="G108" s="4" t="s">
        <v>329</v>
      </c>
      <c r="H108" s="4" t="s">
        <v>330</v>
      </c>
      <c r="I108" s="6" t="s">
        <v>13</v>
      </c>
    </row>
    <row r="109" spans="1:9">
      <c r="A109" s="4" t="s">
        <v>331</v>
      </c>
      <c r="B109" s="4" t="s">
        <v>77</v>
      </c>
      <c r="C109" s="5" t="n">
        <v>22</v>
      </c>
      <c r="E109" s="5" t="n">
        <v>-4</v>
      </c>
      <c r="F109" s="4" t="s">
        <v>10</v>
      </c>
      <c r="G109" s="4" t="s">
        <v>332</v>
      </c>
      <c r="H109" s="4" t="s">
        <v>333</v>
      </c>
      <c r="I109" s="6" t="s">
        <v>13</v>
      </c>
    </row>
    <row r="110" spans="1:9">
      <c r="A110" s="4" t="s">
        <v>334</v>
      </c>
      <c r="B110" s="4" t="s">
        <v>77</v>
      </c>
      <c r="C110" s="5" t="n">
        <v>22</v>
      </c>
      <c r="F110" s="4" t="s">
        <v>10</v>
      </c>
      <c r="G110" s="4" t="s">
        <v>335</v>
      </c>
      <c r="H110" s="4" t="s">
        <v>336</v>
      </c>
      <c r="I110" s="6" t="s">
        <v>13</v>
      </c>
    </row>
    <row r="111" spans="1:9">
      <c r="A111" s="4" t="s">
        <v>337</v>
      </c>
      <c r="B111" s="4" t="s">
        <v>77</v>
      </c>
      <c r="C111" s="5" t="n">
        <v>29.9</v>
      </c>
      <c r="F111" s="4" t="s">
        <v>10</v>
      </c>
      <c r="G111" s="4" t="s">
        <v>338</v>
      </c>
      <c r="H111" s="4" t="s">
        <v>339</v>
      </c>
      <c r="I111" s="6" t="s">
        <v>13</v>
      </c>
    </row>
    <row r="112" spans="1:9">
      <c r="A112" s="4" t="s">
        <v>340</v>
      </c>
      <c r="B112" s="4" t="s">
        <v>341</v>
      </c>
      <c r="D112" s="5" t="n">
        <v>99.03</v>
      </c>
      <c r="F112" s="4" t="s">
        <v>263</v>
      </c>
      <c r="G112" s="4" t="s">
        <v>342</v>
      </c>
      <c r="H112" s="4" t="s">
        <v>343</v>
      </c>
      <c r="I112" s="6" t="s">
        <v>13</v>
      </c>
    </row>
    <row r="113" spans="1:9">
      <c r="A113" s="4" t="s">
        <v>344</v>
      </c>
      <c r="B113" s="4" t="s">
        <v>9</v>
      </c>
      <c r="C113" s="5" t="n">
        <v>11.9</v>
      </c>
      <c r="D113" s="5" t="n">
        <v>0.62</v>
      </c>
      <c r="F113" s="4" t="s">
        <v>10</v>
      </c>
      <c r="G113" s="4" t="s">
        <v>345</v>
      </c>
      <c r="H113" s="4" t="s">
        <v>346</v>
      </c>
      <c r="I113" s="6" t="s">
        <v>13</v>
      </c>
    </row>
    <row r="114" spans="1:9">
      <c r="A114" s="4" t="s">
        <v>347</v>
      </c>
      <c r="B114" s="4" t="s">
        <v>9</v>
      </c>
      <c r="C114" s="5" t="n">
        <v>9.9</v>
      </c>
      <c r="D114" s="5" t="n">
        <v>0.15</v>
      </c>
      <c r="F114" s="4" t="s">
        <v>10</v>
      </c>
      <c r="G114" s="4" t="s">
        <v>348</v>
      </c>
      <c r="H114" s="4" t="s">
        <v>349</v>
      </c>
      <c r="I114" s="6" t="s">
        <v>13</v>
      </c>
    </row>
    <row r="115" spans="1:9">
      <c r="A115" s="4" t="s">
        <v>350</v>
      </c>
      <c r="B115" s="4" t="s">
        <v>51</v>
      </c>
      <c r="C115" s="5" t="n">
        <v>10</v>
      </c>
      <c r="E115" s="5" t="n">
        <v>-1</v>
      </c>
      <c r="F115" s="4" t="s">
        <v>10</v>
      </c>
      <c r="G115" s="4" t="s">
        <v>351</v>
      </c>
      <c r="H115" s="4" t="s">
        <v>352</v>
      </c>
      <c r="I115" s="6" t="s">
        <v>13</v>
      </c>
    </row>
    <row r="116" spans="1:9">
      <c r="A116" s="4" t="s">
        <v>353</v>
      </c>
      <c r="B116" s="4" t="s">
        <v>51</v>
      </c>
      <c r="C116" s="5" t="n">
        <v>10</v>
      </c>
      <c r="E116" s="5" t="n">
        <v>-6</v>
      </c>
      <c r="F116" s="4" t="s">
        <v>10</v>
      </c>
      <c r="G116" s="4" t="s">
        <v>354</v>
      </c>
      <c r="H116" s="4" t="s">
        <v>355</v>
      </c>
      <c r="I116" s="6" t="s">
        <v>13</v>
      </c>
    </row>
    <row r="117" spans="1:9">
      <c r="A117" s="4">
        <f>="CAPPUCCINO POWER 3CORACOES CLASSICO 250ML "</f>
      </c>
      <c r="B117" s="4" t="s">
        <v>51</v>
      </c>
      <c r="C117" s="5" t="n">
        <v>10</v>
      </c>
      <c r="E117" s="5" t="n">
        <v>-2</v>
      </c>
      <c r="F117" s="4" t="s">
        <v>10</v>
      </c>
      <c r="G117" s="4" t="s">
        <v>356</v>
      </c>
      <c r="H117" s="4" t="s">
        <v>357</v>
      </c>
      <c r="I117" s="6" t="s">
        <v>13</v>
      </c>
    </row>
    <row r="118" spans="1:9">
      <c r="A118" s="4" t="s">
        <v>358</v>
      </c>
      <c r="B118" s="4" t="s">
        <v>51</v>
      </c>
      <c r="C118" s="5" t="n">
        <v>10</v>
      </c>
      <c r="E118" s="5" t="n">
        <v>-2</v>
      </c>
      <c r="F118" s="4" t="s">
        <v>10</v>
      </c>
      <c r="G118" s="4" t="s">
        <v>359</v>
      </c>
      <c r="H118" s="4" t="s">
        <v>360</v>
      </c>
      <c r="I118" s="6" t="s">
        <v>13</v>
      </c>
    </row>
    <row r="119" spans="1:9">
      <c r="A119" s="4" t="s">
        <v>361</v>
      </c>
      <c r="B119" s="4" t="s">
        <v>51</v>
      </c>
      <c r="C119" s="5" t="n">
        <v>10</v>
      </c>
      <c r="F119" s="4" t="s">
        <v>10</v>
      </c>
      <c r="G119" s="4" t="s">
        <v>362</v>
      </c>
      <c r="H119" s="4" t="s">
        <v>363</v>
      </c>
      <c r="I119" s="6" t="s">
        <v>13</v>
      </c>
    </row>
    <row r="120" spans="1:9">
      <c r="A120" s="4" t="s">
        <v>364</v>
      </c>
      <c r="B120" s="4" t="s">
        <v>51</v>
      </c>
      <c r="C120" s="5" t="n">
        <v>10</v>
      </c>
      <c r="F120" s="4" t="s">
        <v>10</v>
      </c>
      <c r="G120" s="4" t="s">
        <v>365</v>
      </c>
      <c r="H120" s="4" t="s">
        <v>366</v>
      </c>
      <c r="I120" s="6" t="s">
        <v>13</v>
      </c>
    </row>
    <row r="121" spans="1:9">
      <c r="A121" s="4" t="s">
        <v>367</v>
      </c>
      <c r="B121" s="4" t="s">
        <v>183</v>
      </c>
      <c r="C121" s="5" t="n">
        <v>155</v>
      </c>
      <c r="F121" s="4" t="s">
        <v>10</v>
      </c>
      <c r="G121" s="4" t="s">
        <v>368</v>
      </c>
      <c r="H121" s="4" t="s">
        <v>369</v>
      </c>
      <c r="I121" s="6" t="s">
        <v>13</v>
      </c>
    </row>
    <row r="122" spans="1:9">
      <c r="A122" s="4" t="s">
        <v>370</v>
      </c>
      <c r="B122" s="4" t="s">
        <v>183</v>
      </c>
      <c r="C122" s="5" t="n">
        <v>95</v>
      </c>
      <c r="F122" s="4" t="s">
        <v>10</v>
      </c>
      <c r="G122" s="4" t="s">
        <v>371</v>
      </c>
      <c r="H122" s="4" t="s">
        <v>372</v>
      </c>
      <c r="I122" s="6" t="s">
        <v>13</v>
      </c>
    </row>
    <row r="123" spans="1:9">
      <c r="A123" s="4" t="s">
        <v>373</v>
      </c>
      <c r="B123" s="4" t="s">
        <v>183</v>
      </c>
      <c r="C123" s="5" t="n">
        <v>30</v>
      </c>
      <c r="E123" s="5" t="n">
        <v>8</v>
      </c>
      <c r="F123" s="4" t="s">
        <v>10</v>
      </c>
      <c r="G123" s="4" t="s">
        <v>374</v>
      </c>
      <c r="H123" s="4" t="s">
        <v>375</v>
      </c>
      <c r="I123" s="6" t="s">
        <v>13</v>
      </c>
    </row>
    <row r="124" spans="1:9">
      <c r="A124" s="4" t="s">
        <v>376</v>
      </c>
      <c r="B124" s="4" t="s">
        <v>183</v>
      </c>
      <c r="C124" s="5" t="n">
        <v>40</v>
      </c>
      <c r="E124" s="5" t="n">
        <v>-7</v>
      </c>
      <c r="F124" s="4" t="s">
        <v>10</v>
      </c>
      <c r="G124" s="4" t="s">
        <v>377</v>
      </c>
      <c r="H124" s="4" t="s">
        <v>378</v>
      </c>
      <c r="I124" s="6" t="s">
        <v>13</v>
      </c>
    </row>
    <row r="125" spans="1:9">
      <c r="A125" s="4" t="s">
        <v>379</v>
      </c>
      <c r="B125" s="4" t="s">
        <v>77</v>
      </c>
      <c r="C125" s="5" t="n">
        <v>18</v>
      </c>
      <c r="D125" s="5" t="n">
        <v>11</v>
      </c>
      <c r="E125" s="5" t="n">
        <v>10</v>
      </c>
      <c r="F125" s="4" t="s">
        <v>10</v>
      </c>
      <c r="G125" s="4" t="s">
        <v>380</v>
      </c>
      <c r="H125" s="4" t="s">
        <v>381</v>
      </c>
      <c r="I125" s="6" t="s">
        <v>13</v>
      </c>
    </row>
    <row r="126" spans="1:9">
      <c r="A126" s="4" t="s">
        <v>382</v>
      </c>
      <c r="B126" s="4" t="s">
        <v>77</v>
      </c>
      <c r="C126" s="5" t="n">
        <v>18</v>
      </c>
      <c r="D126" s="5" t="n">
        <v>11</v>
      </c>
      <c r="E126" s="5" t="n">
        <v>7</v>
      </c>
      <c r="F126" s="4" t="s">
        <v>10</v>
      </c>
      <c r="G126" s="4" t="s">
        <v>383</v>
      </c>
      <c r="H126" s="4" t="s">
        <v>384</v>
      </c>
      <c r="I126" s="6" t="s">
        <v>13</v>
      </c>
    </row>
    <row r="127" spans="1:9">
      <c r="A127" s="4" t="s">
        <v>385</v>
      </c>
      <c r="B127" s="4" t="s">
        <v>77</v>
      </c>
      <c r="C127" s="5" t="n">
        <v>18</v>
      </c>
      <c r="E127" s="5" t="n">
        <v>-2</v>
      </c>
      <c r="F127" s="4" t="s">
        <v>10</v>
      </c>
      <c r="G127" s="4" t="s">
        <v>386</v>
      </c>
      <c r="H127" s="4" t="s">
        <v>387</v>
      </c>
      <c r="I127" s="6" t="s">
        <v>13</v>
      </c>
    </row>
    <row r="128" spans="1:9">
      <c r="A128" s="4" t="s">
        <v>388</v>
      </c>
      <c r="B128" s="4" t="s">
        <v>77</v>
      </c>
      <c r="C128" s="5" t="n">
        <v>5.75</v>
      </c>
      <c r="E128" s="5" t="n">
        <v>-10</v>
      </c>
      <c r="F128" s="4" t="s">
        <v>10</v>
      </c>
      <c r="G128" s="4" t="s">
        <v>389</v>
      </c>
      <c r="H128" s="4" t="s">
        <v>390</v>
      </c>
      <c r="I128" s="6" t="s">
        <v>13</v>
      </c>
    </row>
    <row r="129" spans="1:9">
      <c r="A129" s="4" t="s">
        <v>391</v>
      </c>
      <c r="B129" s="4" t="s">
        <v>77</v>
      </c>
      <c r="C129" s="5" t="n">
        <v>14.5</v>
      </c>
      <c r="E129" s="5" t="n">
        <v>-3</v>
      </c>
      <c r="F129" s="4" t="s">
        <v>10</v>
      </c>
      <c r="G129" s="4" t="s">
        <v>392</v>
      </c>
      <c r="H129" s="4" t="s">
        <v>393</v>
      </c>
      <c r="I129" s="6" t="s">
        <v>13</v>
      </c>
    </row>
    <row r="130" spans="1:9">
      <c r="A130" s="4" t="s">
        <v>394</v>
      </c>
      <c r="B130" s="4" t="s">
        <v>395</v>
      </c>
      <c r="C130" s="5" t="n">
        <v>8</v>
      </c>
      <c r="E130" s="5" t="n">
        <v>-5</v>
      </c>
      <c r="F130" s="4" t="s">
        <v>10</v>
      </c>
      <c r="G130" s="4" t="s">
        <v>396</v>
      </c>
      <c r="H130" s="4" t="s">
        <v>397</v>
      </c>
      <c r="I130" s="6" t="s">
        <v>13</v>
      </c>
    </row>
    <row r="131" spans="1:9">
      <c r="A131" s="4" t="s">
        <v>398</v>
      </c>
      <c r="B131" s="4" t="s">
        <v>395</v>
      </c>
      <c r="C131" s="5" t="n">
        <v>5.5</v>
      </c>
      <c r="D131" s="5" t="n">
        <v>3.16</v>
      </c>
      <c r="E131" s="5" t="n">
        <v>-5</v>
      </c>
      <c r="F131" s="4" t="s">
        <v>10</v>
      </c>
      <c r="G131" s="4" t="s">
        <v>399</v>
      </c>
      <c r="H131" s="4" t="s">
        <v>400</v>
      </c>
      <c r="I131" s="6" t="s">
        <v>13</v>
      </c>
    </row>
    <row r="132" spans="1:9">
      <c r="A132" s="4" t="s">
        <v>401</v>
      </c>
      <c r="B132" s="4" t="s">
        <v>395</v>
      </c>
      <c r="C132" s="5" t="n">
        <v>7.9</v>
      </c>
      <c r="D132" s="5" t="n">
        <v>3.81</v>
      </c>
      <c r="E132" s="5" t="n">
        <v>9</v>
      </c>
      <c r="F132" s="4" t="s">
        <v>10</v>
      </c>
      <c r="G132" s="4" t="s">
        <v>402</v>
      </c>
      <c r="H132" s="4" t="s">
        <v>403</v>
      </c>
      <c r="I132" s="6" t="s">
        <v>13</v>
      </c>
    </row>
    <row r="133" spans="1:9">
      <c r="A133" s="4" t="s">
        <v>404</v>
      </c>
      <c r="B133" s="4" t="s">
        <v>395</v>
      </c>
      <c r="C133" s="5" t="n">
        <v>8</v>
      </c>
      <c r="D133" s="5" t="n">
        <v>4.5</v>
      </c>
      <c r="E133" s="5" t="n">
        <v>-3</v>
      </c>
      <c r="F133" s="4" t="s">
        <v>10</v>
      </c>
      <c r="G133" s="4" t="s">
        <v>405</v>
      </c>
      <c r="H133" s="4" t="s">
        <v>406</v>
      </c>
      <c r="I133" s="6" t="s">
        <v>13</v>
      </c>
    </row>
    <row r="134" spans="1:9">
      <c r="A134" s="4" t="s">
        <v>407</v>
      </c>
      <c r="B134" s="4" t="s">
        <v>395</v>
      </c>
      <c r="C134" s="5" t="n">
        <v>5.5</v>
      </c>
      <c r="D134" s="5" t="n">
        <v>4.83</v>
      </c>
      <c r="E134" s="5" t="n">
        <v>-17</v>
      </c>
      <c r="F134" s="4" t="s">
        <v>10</v>
      </c>
      <c r="G134" s="4" t="s">
        <v>408</v>
      </c>
      <c r="H134" s="4" t="s">
        <v>409</v>
      </c>
      <c r="I134" s="6" t="s">
        <v>13</v>
      </c>
    </row>
    <row r="135" spans="1:9">
      <c r="A135" s="4" t="s">
        <v>410</v>
      </c>
      <c r="B135" s="4" t="s">
        <v>395</v>
      </c>
      <c r="C135" s="5" t="n">
        <v>4</v>
      </c>
      <c r="D135" s="5" t="n">
        <v>3.4</v>
      </c>
      <c r="E135" s="5" t="n">
        <v>1</v>
      </c>
      <c r="F135" s="4" t="s">
        <v>10</v>
      </c>
      <c r="G135" s="4" t="s">
        <v>411</v>
      </c>
      <c r="H135" s="4" t="s">
        <v>412</v>
      </c>
      <c r="I135" s="6" t="s">
        <v>13</v>
      </c>
    </row>
    <row r="136" spans="1:9">
      <c r="A136" s="4" t="s">
        <v>413</v>
      </c>
      <c r="B136" s="4" t="s">
        <v>395</v>
      </c>
      <c r="C136" s="5" t="n">
        <v>6.9</v>
      </c>
      <c r="E136" s="5" t="n">
        <v>-3</v>
      </c>
      <c r="F136" s="4" t="s">
        <v>10</v>
      </c>
      <c r="G136" s="4" t="s">
        <v>414</v>
      </c>
      <c r="H136" s="4" t="s">
        <v>415</v>
      </c>
      <c r="I136" s="6" t="s">
        <v>13</v>
      </c>
    </row>
    <row r="137" spans="1:9">
      <c r="A137" s="4" t="s">
        <v>416</v>
      </c>
      <c r="B137" s="4" t="s">
        <v>395</v>
      </c>
      <c r="C137" s="5" t="n">
        <v>6.5</v>
      </c>
      <c r="E137" s="5" t="n">
        <v>-24</v>
      </c>
      <c r="F137" s="4" t="s">
        <v>10</v>
      </c>
      <c r="G137" s="4" t="s">
        <v>417</v>
      </c>
      <c r="H137" s="4" t="s">
        <v>418</v>
      </c>
      <c r="I137" s="6" t="s">
        <v>13</v>
      </c>
    </row>
    <row r="138" spans="1:9">
      <c r="A138" s="4" t="s">
        <v>419</v>
      </c>
      <c r="B138" s="4" t="s">
        <v>51</v>
      </c>
      <c r="C138" s="5" t="n">
        <v>5.5</v>
      </c>
      <c r="E138" s="5" t="n">
        <v>-2</v>
      </c>
      <c r="F138" s="4" t="s">
        <v>10</v>
      </c>
      <c r="G138" s="4" t="s">
        <v>420</v>
      </c>
      <c r="H138" s="4" t="s">
        <v>421</v>
      </c>
      <c r="I138" s="6" t="s">
        <v>13</v>
      </c>
    </row>
    <row r="139" spans="1:9">
      <c r="A139" s="4" t="s">
        <v>422</v>
      </c>
      <c r="B139" s="4" t="s">
        <v>395</v>
      </c>
      <c r="C139" s="5" t="n">
        <v>8.9</v>
      </c>
      <c r="E139" s="5" t="n">
        <v>20</v>
      </c>
      <c r="F139" s="4" t="s">
        <v>10</v>
      </c>
      <c r="G139" s="4" t="s">
        <v>423</v>
      </c>
      <c r="H139" s="4" t="s">
        <v>424</v>
      </c>
      <c r="I139" s="6" t="s">
        <v>13</v>
      </c>
    </row>
    <row r="140" spans="1:9">
      <c r="A140" s="4" t="s">
        <v>425</v>
      </c>
      <c r="B140" s="4" t="s">
        <v>395</v>
      </c>
      <c r="C140" s="5" t="n">
        <v>6.5</v>
      </c>
      <c r="E140" s="5" t="n">
        <v>9</v>
      </c>
      <c r="F140" s="4" t="s">
        <v>10</v>
      </c>
      <c r="G140" s="4" t="s">
        <v>426</v>
      </c>
      <c r="H140" s="4" t="s">
        <v>427</v>
      </c>
      <c r="I140" s="6" t="s">
        <v>13</v>
      </c>
    </row>
    <row r="141" spans="1:9">
      <c r="A141" s="4" t="s">
        <v>428</v>
      </c>
      <c r="B141" s="4" t="s">
        <v>395</v>
      </c>
      <c r="C141" s="5" t="n">
        <v>7.9</v>
      </c>
      <c r="E141" s="5" t="n">
        <v>31</v>
      </c>
      <c r="F141" s="4" t="s">
        <v>10</v>
      </c>
      <c r="G141" s="4" t="s">
        <v>429</v>
      </c>
      <c r="H141" s="4" t="s">
        <v>430</v>
      </c>
      <c r="I141" s="6" t="s">
        <v>13</v>
      </c>
    </row>
    <row r="142" spans="1:9">
      <c r="A142" s="4" t="s">
        <v>431</v>
      </c>
      <c r="B142" s="4" t="s">
        <v>395</v>
      </c>
      <c r="C142" s="5" t="n">
        <v>10.9</v>
      </c>
      <c r="D142" s="5" t="n">
        <v>6.82</v>
      </c>
      <c r="E142" s="5" t="n">
        <v>24</v>
      </c>
      <c r="F142" s="4" t="s">
        <v>10</v>
      </c>
      <c r="G142" s="4" t="s">
        <v>432</v>
      </c>
      <c r="H142" s="4" t="s">
        <v>433</v>
      </c>
      <c r="I142" s="6" t="s">
        <v>13</v>
      </c>
    </row>
    <row r="143" spans="1:9">
      <c r="A143" s="4" t="s">
        <v>434</v>
      </c>
      <c r="B143" s="4" t="s">
        <v>395</v>
      </c>
      <c r="C143" s="5" t="n">
        <v>10.9</v>
      </c>
      <c r="D143" s="5" t="n">
        <v>6.26</v>
      </c>
      <c r="E143" s="5" t="n">
        <v>-5</v>
      </c>
      <c r="F143" s="4" t="s">
        <v>10</v>
      </c>
      <c r="G143" s="4" t="s">
        <v>435</v>
      </c>
      <c r="H143" s="4" t="s">
        <v>436</v>
      </c>
      <c r="I143" s="6" t="s">
        <v>13</v>
      </c>
    </row>
    <row r="144" spans="1:9">
      <c r="A144" s="4" t="s">
        <v>437</v>
      </c>
      <c r="B144" s="4" t="s">
        <v>395</v>
      </c>
      <c r="C144" s="5" t="n">
        <v>8.9</v>
      </c>
      <c r="E144" s="5" t="n">
        <v>-1</v>
      </c>
      <c r="F144" s="4" t="s">
        <v>10</v>
      </c>
      <c r="G144" s="4" t="s">
        <v>438</v>
      </c>
      <c r="H144" s="4" t="s">
        <v>439</v>
      </c>
      <c r="I144" s="6" t="s">
        <v>13</v>
      </c>
    </row>
    <row r="145" spans="1:9">
      <c r="A145" s="4" t="s">
        <v>440</v>
      </c>
      <c r="B145" s="4" t="s">
        <v>51</v>
      </c>
      <c r="C145" s="5" t="n">
        <v>10.9</v>
      </c>
      <c r="E145" s="5" t="n">
        <v>-21</v>
      </c>
      <c r="F145" s="4" t="s">
        <v>10</v>
      </c>
      <c r="G145" s="4" t="s">
        <v>441</v>
      </c>
      <c r="H145" s="4" t="s">
        <v>442</v>
      </c>
      <c r="I145" s="6" t="s">
        <v>13</v>
      </c>
    </row>
    <row r="146" spans="1:9">
      <c r="A146" s="4" t="s">
        <v>443</v>
      </c>
      <c r="B146" s="4" t="s">
        <v>395</v>
      </c>
      <c r="C146" s="5" t="n">
        <v>3.99</v>
      </c>
      <c r="E146" s="5" t="n">
        <v>34</v>
      </c>
      <c r="F146" s="4" t="s">
        <v>10</v>
      </c>
      <c r="G146" s="4" t="s">
        <v>444</v>
      </c>
      <c r="H146" s="4" t="s">
        <v>445</v>
      </c>
      <c r="I146" s="6" t="s">
        <v>13</v>
      </c>
    </row>
    <row r="147" spans="1:9">
      <c r="A147" s="4" t="s">
        <v>446</v>
      </c>
      <c r="B147" s="4" t="s">
        <v>395</v>
      </c>
      <c r="C147" s="5" t="n">
        <v>5.5</v>
      </c>
      <c r="D147" s="5" t="n">
        <v>1.36</v>
      </c>
      <c r="E147" s="5" t="n">
        <v>39</v>
      </c>
      <c r="F147" s="4" t="s">
        <v>10</v>
      </c>
      <c r="G147" s="4" t="s">
        <v>447</v>
      </c>
      <c r="H147" s="4" t="s">
        <v>448</v>
      </c>
      <c r="I147" s="6" t="s">
        <v>13</v>
      </c>
    </row>
    <row r="148" spans="1:9">
      <c r="A148" s="4" t="s">
        <v>449</v>
      </c>
      <c r="B148" s="4" t="s">
        <v>395</v>
      </c>
      <c r="C148" s="5" t="n">
        <v>6.5</v>
      </c>
      <c r="D148" s="5" t="n">
        <v>1.82</v>
      </c>
      <c r="E148" s="5" t="n">
        <v>36</v>
      </c>
      <c r="F148" s="4" t="s">
        <v>10</v>
      </c>
      <c r="G148" s="4" t="s">
        <v>450</v>
      </c>
      <c r="H148" s="4" t="s">
        <v>451</v>
      </c>
      <c r="I148" s="6" t="s">
        <v>13</v>
      </c>
    </row>
    <row r="149" spans="1:9">
      <c r="A149" s="4" t="s">
        <v>452</v>
      </c>
      <c r="B149" s="4" t="s">
        <v>395</v>
      </c>
      <c r="C149" s="5" t="n">
        <v>9.5</v>
      </c>
      <c r="E149" s="5" t="n">
        <v>12</v>
      </c>
      <c r="F149" s="4" t="s">
        <v>10</v>
      </c>
      <c r="G149" s="4" t="s">
        <v>453</v>
      </c>
      <c r="H149" s="4" t="s">
        <v>454</v>
      </c>
      <c r="I149" s="6" t="s">
        <v>13</v>
      </c>
    </row>
    <row r="150" spans="1:9">
      <c r="A150" s="4" t="s">
        <v>455</v>
      </c>
      <c r="B150" s="4" t="s">
        <v>395</v>
      </c>
      <c r="C150" s="5" t="n">
        <v>6.5</v>
      </c>
      <c r="E150" s="5" t="n">
        <v>-9</v>
      </c>
      <c r="F150" s="4" t="s">
        <v>10</v>
      </c>
      <c r="G150" s="4" t="s">
        <v>456</v>
      </c>
      <c r="H150" s="4" t="s">
        <v>457</v>
      </c>
      <c r="I150" s="6" t="s">
        <v>13</v>
      </c>
    </row>
    <row r="151" spans="1:9">
      <c r="A151" s="4" t="s">
        <v>458</v>
      </c>
      <c r="B151" s="4" t="s">
        <v>395</v>
      </c>
      <c r="C151" s="5" t="n">
        <v>18.9</v>
      </c>
      <c r="E151" s="5" t="n">
        <v>-16</v>
      </c>
      <c r="F151" s="4" t="s">
        <v>10</v>
      </c>
      <c r="G151" s="4" t="s">
        <v>459</v>
      </c>
      <c r="H151" s="4" t="s">
        <v>460</v>
      </c>
      <c r="I151" s="6" t="s">
        <v>13</v>
      </c>
    </row>
    <row r="152" spans="1:9">
      <c r="A152" s="4">
        <f>="CERV HEINEKEN LATA 350ML "</f>
      </c>
      <c r="B152" s="4" t="s">
        <v>395</v>
      </c>
      <c r="C152" s="5" t="n">
        <v>8.5</v>
      </c>
      <c r="D152" s="5" t="n">
        <v>5.06</v>
      </c>
      <c r="E152" s="5" t="n">
        <v>21</v>
      </c>
      <c r="F152" s="4" t="s">
        <v>10</v>
      </c>
      <c r="G152" s="4" t="s">
        <v>461</v>
      </c>
      <c r="H152" s="4" t="s">
        <v>462</v>
      </c>
      <c r="I152" s="6" t="s">
        <v>13</v>
      </c>
    </row>
    <row r="153" spans="1:9">
      <c r="A153" s="4" t="s">
        <v>463</v>
      </c>
      <c r="B153" s="4" t="s">
        <v>395</v>
      </c>
      <c r="C153" s="5" t="n">
        <v>10.9</v>
      </c>
      <c r="D153" s="5" t="n">
        <v>5.55</v>
      </c>
      <c r="E153" s="5" t="n">
        <v>45</v>
      </c>
      <c r="F153" s="4" t="s">
        <v>10</v>
      </c>
      <c r="G153" s="4" t="s">
        <v>464</v>
      </c>
      <c r="H153" s="4" t="s">
        <v>465</v>
      </c>
      <c r="I153" s="6" t="s">
        <v>13</v>
      </c>
    </row>
    <row r="154" spans="1:9">
      <c r="A154" s="4" t="s">
        <v>466</v>
      </c>
      <c r="B154" s="4" t="s">
        <v>51</v>
      </c>
      <c r="C154" s="5" t="n">
        <v>8.5</v>
      </c>
      <c r="D154" s="5" t="n">
        <v>4.19</v>
      </c>
      <c r="E154" s="5" t="n">
        <v>13</v>
      </c>
      <c r="F154" s="4" t="s">
        <v>10</v>
      </c>
      <c r="G154" s="4" t="s">
        <v>467</v>
      </c>
      <c r="H154" s="4" t="s">
        <v>468</v>
      </c>
      <c r="I154" s="6" t="s">
        <v>13</v>
      </c>
    </row>
    <row r="155" spans="1:9">
      <c r="A155" s="4" t="s">
        <v>469</v>
      </c>
      <c r="B155" s="4" t="s">
        <v>51</v>
      </c>
      <c r="C155" s="5" t="n">
        <v>10.9</v>
      </c>
      <c r="E155" s="5" t="n">
        <v>-9</v>
      </c>
      <c r="F155" s="4" t="s">
        <v>10</v>
      </c>
      <c r="G155" s="4" t="s">
        <v>470</v>
      </c>
      <c r="H155" s="4" t="s">
        <v>471</v>
      </c>
      <c r="I155" s="6" t="s">
        <v>13</v>
      </c>
    </row>
    <row r="156" spans="1:9">
      <c r="A156" s="4" t="s">
        <v>472</v>
      </c>
      <c r="B156" s="4" t="s">
        <v>395</v>
      </c>
      <c r="C156" s="5" t="n">
        <v>18.5</v>
      </c>
      <c r="D156" s="5" t="n">
        <v>9.58</v>
      </c>
      <c r="E156" s="5" t="n">
        <v>21</v>
      </c>
      <c r="F156" s="4" t="s">
        <v>10</v>
      </c>
      <c r="G156" s="4" t="s">
        <v>473</v>
      </c>
      <c r="H156" s="4" t="s">
        <v>474</v>
      </c>
      <c r="I156" s="6" t="s">
        <v>13</v>
      </c>
    </row>
    <row r="157" spans="1:9">
      <c r="A157" s="4" t="s">
        <v>475</v>
      </c>
      <c r="B157" s="4" t="s">
        <v>395</v>
      </c>
      <c r="C157" s="5" t="n">
        <v>4.5</v>
      </c>
      <c r="D157" s="5" t="n">
        <v>2.81</v>
      </c>
      <c r="E157" s="5" t="n">
        <v>48</v>
      </c>
      <c r="F157" s="4" t="s">
        <v>10</v>
      </c>
      <c r="G157" s="4" t="s">
        <v>476</v>
      </c>
      <c r="H157" s="4" t="s">
        <v>477</v>
      </c>
      <c r="I157" s="6" t="s">
        <v>13</v>
      </c>
    </row>
    <row r="158" spans="1:9">
      <c r="A158" s="4" t="s">
        <v>478</v>
      </c>
      <c r="B158" s="4" t="s">
        <v>395</v>
      </c>
      <c r="C158" s="5" t="n">
        <v>6.5</v>
      </c>
      <c r="D158" s="5" t="n">
        <v>1.71</v>
      </c>
      <c r="E158" s="5" t="n">
        <v>113</v>
      </c>
      <c r="F158" s="4" t="s">
        <v>10</v>
      </c>
      <c r="G158" s="4" t="s">
        <v>479</v>
      </c>
      <c r="H158" s="4" t="s">
        <v>480</v>
      </c>
      <c r="I158" s="6" t="s">
        <v>13</v>
      </c>
    </row>
    <row r="159" spans="1:9">
      <c r="A159" s="4" t="s">
        <v>481</v>
      </c>
      <c r="B159" s="4" t="s">
        <v>395</v>
      </c>
      <c r="C159" s="5" t="n">
        <v>6.5</v>
      </c>
      <c r="E159" s="5" t="n">
        <v>45</v>
      </c>
      <c r="F159" s="4" t="s">
        <v>10</v>
      </c>
      <c r="G159" s="4" t="s">
        <v>482</v>
      </c>
      <c r="H159" s="4" t="s">
        <v>483</v>
      </c>
      <c r="I159" s="6" t="s">
        <v>13</v>
      </c>
    </row>
    <row r="160" spans="1:9">
      <c r="A160" s="4" t="s">
        <v>484</v>
      </c>
      <c r="B160" s="4" t="s">
        <v>395</v>
      </c>
      <c r="C160" s="5" t="n">
        <v>6.5</v>
      </c>
      <c r="E160" s="5" t="n">
        <v>-13</v>
      </c>
      <c r="F160" s="4" t="s">
        <v>10</v>
      </c>
      <c r="G160" s="4" t="s">
        <v>485</v>
      </c>
      <c r="H160" s="4" t="s">
        <v>486</v>
      </c>
      <c r="I160" s="6" t="s">
        <v>13</v>
      </c>
    </row>
    <row r="161" spans="1:9">
      <c r="A161" s="4" t="s">
        <v>487</v>
      </c>
      <c r="B161" s="4" t="s">
        <v>395</v>
      </c>
      <c r="C161" s="5" t="n">
        <v>6.5</v>
      </c>
      <c r="E161" s="5" t="n">
        <v>-4</v>
      </c>
      <c r="F161" s="4" t="s">
        <v>10</v>
      </c>
      <c r="G161" s="4" t="s">
        <v>488</v>
      </c>
      <c r="H161" s="4" t="s">
        <v>489</v>
      </c>
      <c r="I161" s="6" t="s">
        <v>13</v>
      </c>
    </row>
    <row r="162" spans="1:9">
      <c r="A162" s="4" t="s">
        <v>490</v>
      </c>
      <c r="B162" s="4" t="s">
        <v>395</v>
      </c>
      <c r="C162" s="5" t="n">
        <v>5.5</v>
      </c>
      <c r="D162" s="5" t="n">
        <v>3.25</v>
      </c>
      <c r="E162" s="5" t="n">
        <v>1</v>
      </c>
      <c r="F162" s="4" t="s">
        <v>10</v>
      </c>
      <c r="G162" s="4" t="s">
        <v>491</v>
      </c>
      <c r="H162" s="4" t="s">
        <v>492</v>
      </c>
      <c r="I162" s="6" t="s">
        <v>13</v>
      </c>
    </row>
    <row r="163" spans="1:9">
      <c r="A163" s="4" t="s">
        <v>493</v>
      </c>
      <c r="B163" s="4" t="s">
        <v>395</v>
      </c>
      <c r="C163" s="5" t="n">
        <v>8.9</v>
      </c>
      <c r="F163" s="4" t="s">
        <v>10</v>
      </c>
      <c r="G163" s="4" t="s">
        <v>494</v>
      </c>
      <c r="H163" s="4" t="s">
        <v>495</v>
      </c>
      <c r="I163" s="6" t="s">
        <v>13</v>
      </c>
    </row>
    <row r="164" spans="1:9">
      <c r="A164" s="4" t="s">
        <v>496</v>
      </c>
      <c r="B164" s="4" t="s">
        <v>395</v>
      </c>
      <c r="C164" s="5" t="n">
        <v>8.9</v>
      </c>
      <c r="E164" s="5" t="n">
        <v>-2</v>
      </c>
      <c r="F164" s="4" t="s">
        <v>10</v>
      </c>
      <c r="G164" s="4" t="s">
        <v>497</v>
      </c>
      <c r="H164" s="4" t="s">
        <v>498</v>
      </c>
      <c r="I164" s="6" t="s">
        <v>13</v>
      </c>
    </row>
    <row r="165" spans="1:9">
      <c r="A165" s="4" t="s">
        <v>499</v>
      </c>
      <c r="B165" s="4" t="s">
        <v>395</v>
      </c>
      <c r="C165" s="5" t="n">
        <v>8.9</v>
      </c>
      <c r="E165" s="5" t="n">
        <v>10</v>
      </c>
      <c r="F165" s="4" t="s">
        <v>10</v>
      </c>
      <c r="G165" s="4" t="s">
        <v>500</v>
      </c>
      <c r="H165" s="4" t="s">
        <v>501</v>
      </c>
      <c r="I165" s="6" t="s">
        <v>13</v>
      </c>
    </row>
    <row r="166" spans="1:9">
      <c r="A166" s="4" t="s">
        <v>502</v>
      </c>
      <c r="B166" s="4" t="s">
        <v>395</v>
      </c>
      <c r="C166" s="5" t="n">
        <v>8.9</v>
      </c>
      <c r="E166" s="5" t="n">
        <v>1</v>
      </c>
      <c r="F166" s="4" t="s">
        <v>10</v>
      </c>
      <c r="G166" s="4" t="s">
        <v>503</v>
      </c>
      <c r="H166" s="4" t="s">
        <v>504</v>
      </c>
      <c r="I166" s="6" t="s">
        <v>13</v>
      </c>
    </row>
    <row r="167" spans="1:9">
      <c r="A167" s="4" t="s">
        <v>505</v>
      </c>
      <c r="B167" s="4" t="s">
        <v>395</v>
      </c>
      <c r="C167" s="5" t="n">
        <v>5.9</v>
      </c>
      <c r="D167" s="5" t="n">
        <v>2.98</v>
      </c>
      <c r="E167" s="5" t="n">
        <v>-4</v>
      </c>
      <c r="F167" s="4" t="s">
        <v>10</v>
      </c>
      <c r="G167" s="4" t="s">
        <v>506</v>
      </c>
      <c r="H167" s="4" t="s">
        <v>507</v>
      </c>
      <c r="I167" s="6" t="s">
        <v>13</v>
      </c>
    </row>
    <row r="168" spans="1:9">
      <c r="A168" s="4" t="s">
        <v>508</v>
      </c>
      <c r="B168" s="4" t="s">
        <v>395</v>
      </c>
      <c r="C168" s="5" t="n">
        <v>6.9</v>
      </c>
      <c r="E168" s="5" t="n">
        <v>10</v>
      </c>
      <c r="F168" s="4" t="s">
        <v>10</v>
      </c>
      <c r="G168" s="4" t="s">
        <v>509</v>
      </c>
      <c r="H168" s="4" t="s">
        <v>510</v>
      </c>
      <c r="I168" s="6" t="s">
        <v>13</v>
      </c>
    </row>
    <row r="169" spans="1:9">
      <c r="A169" s="4" t="s">
        <v>511</v>
      </c>
      <c r="B169" s="4" t="s">
        <v>395</v>
      </c>
      <c r="C169" s="5" t="n">
        <v>6.9</v>
      </c>
      <c r="E169" s="5" t="n">
        <v>-15</v>
      </c>
      <c r="F169" s="4" t="s">
        <v>10</v>
      </c>
      <c r="G169" s="4" t="s">
        <v>512</v>
      </c>
      <c r="H169" s="4" t="s">
        <v>513</v>
      </c>
      <c r="I169" s="6" t="s">
        <v>13</v>
      </c>
    </row>
    <row r="170" spans="1:9">
      <c r="A170" s="4" t="s">
        <v>514</v>
      </c>
      <c r="B170" s="4" t="s">
        <v>395</v>
      </c>
      <c r="C170" s="5" t="n">
        <v>8</v>
      </c>
      <c r="D170" s="5" t="n">
        <v>5</v>
      </c>
      <c r="E170" s="5" t="n">
        <v>22</v>
      </c>
      <c r="F170" s="4" t="s">
        <v>10</v>
      </c>
      <c r="G170" s="4" t="s">
        <v>515</v>
      </c>
      <c r="H170" s="4" t="s">
        <v>516</v>
      </c>
      <c r="I170" s="6" t="s">
        <v>13</v>
      </c>
    </row>
    <row r="171" spans="1:9">
      <c r="A171" s="4" t="s">
        <v>517</v>
      </c>
      <c r="B171" s="4" t="s">
        <v>395</v>
      </c>
      <c r="C171" s="5" t="n">
        <v>8.9</v>
      </c>
      <c r="D171" s="5" t="n">
        <v>6.22</v>
      </c>
      <c r="F171" s="4" t="s">
        <v>10</v>
      </c>
      <c r="G171" s="4" t="s">
        <v>518</v>
      </c>
      <c r="H171" s="4" t="s">
        <v>519</v>
      </c>
      <c r="I171" s="6" t="s">
        <v>13</v>
      </c>
    </row>
    <row r="172" spans="1:9">
      <c r="A172" s="4" t="s">
        <v>520</v>
      </c>
      <c r="B172" s="4" t="s">
        <v>395</v>
      </c>
      <c r="C172" s="5" t="n">
        <v>8.9</v>
      </c>
      <c r="D172" s="5" t="n">
        <v>5.96</v>
      </c>
      <c r="E172" s="5" t="n">
        <v>3</v>
      </c>
      <c r="F172" s="4" t="s">
        <v>10</v>
      </c>
      <c r="G172" s="4" t="s">
        <v>521</v>
      </c>
      <c r="H172" s="4" t="s">
        <v>522</v>
      </c>
      <c r="I172" s="6" t="s">
        <v>13</v>
      </c>
    </row>
    <row r="173" spans="1:9">
      <c r="A173" s="4" t="s">
        <v>523</v>
      </c>
      <c r="B173" s="4" t="s">
        <v>524</v>
      </c>
      <c r="C173" s="5" t="n">
        <v>5.02</v>
      </c>
      <c r="E173" s="5" t="n">
        <v>-9</v>
      </c>
      <c r="F173" s="4" t="s">
        <v>10</v>
      </c>
      <c r="G173" s="4" t="s">
        <v>525</v>
      </c>
      <c r="H173" s="4" t="s">
        <v>526</v>
      </c>
      <c r="I173" s="6" t="s">
        <v>13</v>
      </c>
    </row>
    <row r="174" spans="1:9">
      <c r="A174" s="4" t="s">
        <v>527</v>
      </c>
      <c r="B174" s="4" t="s">
        <v>524</v>
      </c>
      <c r="C174" s="5" t="n">
        <v>4.98</v>
      </c>
      <c r="E174" s="5" t="n">
        <v>-15</v>
      </c>
      <c r="F174" s="4" t="s">
        <v>10</v>
      </c>
      <c r="G174" s="4" t="s">
        <v>528</v>
      </c>
      <c r="H174" s="4" t="s">
        <v>529</v>
      </c>
      <c r="I174" s="6" t="s">
        <v>13</v>
      </c>
    </row>
    <row r="175" spans="1:9">
      <c r="A175" s="4" t="s">
        <v>530</v>
      </c>
      <c r="B175" s="4" t="s">
        <v>77</v>
      </c>
      <c r="C175" s="5" t="n">
        <v>9</v>
      </c>
      <c r="D175" s="5" t="n">
        <v>5.72</v>
      </c>
      <c r="E175" s="5" t="n">
        <v>12</v>
      </c>
      <c r="F175" s="4" t="s">
        <v>10</v>
      </c>
      <c r="G175" s="4" t="s">
        <v>531</v>
      </c>
      <c r="H175" s="4" t="s">
        <v>532</v>
      </c>
      <c r="I175" s="6" t="s">
        <v>13</v>
      </c>
    </row>
    <row r="176" spans="1:9">
      <c r="A176" s="4" t="s">
        <v>533</v>
      </c>
      <c r="B176" s="4" t="s">
        <v>77</v>
      </c>
      <c r="C176" s="5" t="n">
        <v>9</v>
      </c>
      <c r="D176" s="5" t="n">
        <v>5.66</v>
      </c>
      <c r="E176" s="5" t="n">
        <v>11</v>
      </c>
      <c r="F176" s="4" t="s">
        <v>10</v>
      </c>
      <c r="G176" s="4" t="s">
        <v>534</v>
      </c>
      <c r="H176" s="4" t="s">
        <v>535</v>
      </c>
      <c r="I176" s="6" t="s">
        <v>13</v>
      </c>
    </row>
    <row r="177" spans="1:9">
      <c r="A177" s="4" t="s">
        <v>536</v>
      </c>
      <c r="B177" s="4" t="s">
        <v>77</v>
      </c>
      <c r="C177" s="5" t="n">
        <v>15</v>
      </c>
      <c r="D177" s="5" t="n">
        <v>8.85</v>
      </c>
      <c r="E177" s="5" t="n">
        <v>-15</v>
      </c>
      <c r="F177" s="4" t="s">
        <v>10</v>
      </c>
      <c r="G177" s="4" t="s">
        <v>537</v>
      </c>
      <c r="H177" s="4" t="s">
        <v>538</v>
      </c>
      <c r="I177" s="6" t="s">
        <v>13</v>
      </c>
    </row>
    <row r="178" spans="1:9">
      <c r="A178" s="4" t="s">
        <v>539</v>
      </c>
      <c r="B178" s="4" t="s">
        <v>77</v>
      </c>
      <c r="C178" s="5" t="n">
        <v>3.5</v>
      </c>
      <c r="E178" s="5" t="n">
        <v>-24</v>
      </c>
      <c r="F178" s="4" t="s">
        <v>10</v>
      </c>
      <c r="G178" s="4" t="s">
        <v>540</v>
      </c>
      <c r="H178" s="4" t="s">
        <v>541</v>
      </c>
      <c r="I178" s="6" t="s">
        <v>13</v>
      </c>
    </row>
    <row r="179" spans="1:9">
      <c r="A179" s="4">
        <f>="CHIC TRIDENT BLUBERRY 14U "</f>
      </c>
      <c r="B179" s="4" t="s">
        <v>77</v>
      </c>
      <c r="C179" s="5" t="n">
        <v>9</v>
      </c>
      <c r="E179" s="5" t="n">
        <v>-10</v>
      </c>
      <c r="F179" s="4" t="s">
        <v>10</v>
      </c>
      <c r="G179" s="4" t="s">
        <v>542</v>
      </c>
      <c r="H179" s="4" t="s">
        <v>543</v>
      </c>
      <c r="I179" s="6" t="s">
        <v>13</v>
      </c>
    </row>
    <row r="180" spans="1:9">
      <c r="A180" s="4" t="s">
        <v>544</v>
      </c>
      <c r="B180" s="4" t="s">
        <v>77</v>
      </c>
      <c r="C180" s="5" t="n">
        <v>3.5</v>
      </c>
      <c r="E180" s="5" t="n">
        <v>-22</v>
      </c>
      <c r="F180" s="4" t="s">
        <v>10</v>
      </c>
      <c r="G180" s="4" t="s">
        <v>545</v>
      </c>
      <c r="H180" s="4" t="s">
        <v>546</v>
      </c>
      <c r="I180" s="6" t="s">
        <v>13</v>
      </c>
    </row>
    <row r="181" spans="1:9">
      <c r="A181" s="4" t="s">
        <v>547</v>
      </c>
      <c r="B181" s="4" t="s">
        <v>77</v>
      </c>
      <c r="C181" s="5" t="n">
        <v>15</v>
      </c>
      <c r="E181" s="5" t="n">
        <v>-4</v>
      </c>
      <c r="F181" s="4" t="s">
        <v>10</v>
      </c>
      <c r="G181" s="4" t="s">
        <v>548</v>
      </c>
      <c r="H181" s="4" t="s">
        <v>549</v>
      </c>
      <c r="I181" s="6" t="s">
        <v>13</v>
      </c>
    </row>
    <row r="182" spans="1:9">
      <c r="A182" s="4" t="s">
        <v>550</v>
      </c>
      <c r="B182" s="4" t="s">
        <v>77</v>
      </c>
      <c r="C182" s="5" t="n">
        <v>15</v>
      </c>
      <c r="D182" s="5" t="n">
        <v>8.85</v>
      </c>
      <c r="E182" s="5" t="n">
        <v>2</v>
      </c>
      <c r="F182" s="4" t="s">
        <v>10</v>
      </c>
      <c r="G182" s="4" t="s">
        <v>551</v>
      </c>
      <c r="H182" s="4" t="s">
        <v>552</v>
      </c>
      <c r="I182" s="6" t="s">
        <v>13</v>
      </c>
    </row>
    <row r="183" spans="1:9">
      <c r="A183" s="4" t="s">
        <v>553</v>
      </c>
      <c r="B183" s="4" t="s">
        <v>77</v>
      </c>
      <c r="C183" s="5" t="n">
        <v>3.5</v>
      </c>
      <c r="E183" s="5" t="n">
        <v>-24</v>
      </c>
      <c r="F183" s="4" t="s">
        <v>10</v>
      </c>
      <c r="G183" s="4" t="s">
        <v>554</v>
      </c>
      <c r="H183" s="4" t="s">
        <v>555</v>
      </c>
      <c r="I183" s="6" t="s">
        <v>13</v>
      </c>
    </row>
    <row r="184" spans="1:9">
      <c r="A184" s="4" t="s">
        <v>556</v>
      </c>
      <c r="B184" s="4" t="s">
        <v>77</v>
      </c>
      <c r="C184" s="5" t="n">
        <v>3.5</v>
      </c>
      <c r="D184" s="5" t="n">
        <v>1.78</v>
      </c>
      <c r="E184" s="5" t="n">
        <v>4</v>
      </c>
      <c r="F184" s="4" t="s">
        <v>10</v>
      </c>
      <c r="G184" s="4" t="s">
        <v>557</v>
      </c>
      <c r="H184" s="4" t="s">
        <v>558</v>
      </c>
      <c r="I184" s="6" t="s">
        <v>13</v>
      </c>
    </row>
    <row r="185" spans="1:9">
      <c r="A185" s="4" t="s">
        <v>559</v>
      </c>
      <c r="B185" s="4" t="s">
        <v>77</v>
      </c>
      <c r="C185" s="5" t="n">
        <v>5.5</v>
      </c>
      <c r="E185" s="5" t="n">
        <v>-25</v>
      </c>
      <c r="F185" s="4" t="s">
        <v>10</v>
      </c>
      <c r="G185" s="4" t="s">
        <v>560</v>
      </c>
      <c r="H185" s="4" t="s">
        <v>561</v>
      </c>
      <c r="I185" s="6" t="s">
        <v>13</v>
      </c>
    </row>
    <row r="186" spans="1:9">
      <c r="A186" s="4" t="s">
        <v>562</v>
      </c>
      <c r="B186" s="4" t="s">
        <v>77</v>
      </c>
      <c r="C186" s="5" t="n">
        <v>9</v>
      </c>
      <c r="E186" s="5" t="n">
        <v>-6</v>
      </c>
      <c r="F186" s="4" t="s">
        <v>10</v>
      </c>
      <c r="G186" s="4" t="s">
        <v>563</v>
      </c>
      <c r="H186" s="4" t="s">
        <v>564</v>
      </c>
      <c r="I186" s="6" t="s">
        <v>13</v>
      </c>
    </row>
    <row r="187" spans="1:9">
      <c r="A187" s="4" t="s">
        <v>565</v>
      </c>
      <c r="B187" s="4" t="s">
        <v>77</v>
      </c>
      <c r="C187" s="5" t="n">
        <v>3.5</v>
      </c>
      <c r="D187" s="5" t="n">
        <v>1.78</v>
      </c>
      <c r="E187" s="5" t="n">
        <v>-2</v>
      </c>
      <c r="F187" s="4" t="s">
        <v>10</v>
      </c>
      <c r="G187" s="4" t="s">
        <v>566</v>
      </c>
      <c r="H187" s="4" t="s">
        <v>567</v>
      </c>
      <c r="I187" s="6" t="s">
        <v>13</v>
      </c>
    </row>
    <row r="188" spans="1:9">
      <c r="A188" s="4" t="s">
        <v>568</v>
      </c>
      <c r="B188" s="4" t="s">
        <v>77</v>
      </c>
      <c r="C188" s="5" t="n">
        <v>9</v>
      </c>
      <c r="D188" s="5" t="n">
        <v>5.66</v>
      </c>
      <c r="E188" s="5" t="n">
        <v>-12</v>
      </c>
      <c r="F188" s="4" t="s">
        <v>10</v>
      </c>
      <c r="G188" s="4" t="s">
        <v>569</v>
      </c>
      <c r="H188" s="4" t="s">
        <v>570</v>
      </c>
      <c r="I188" s="6" t="s">
        <v>13</v>
      </c>
    </row>
    <row r="189" spans="1:9">
      <c r="A189" s="4" t="s">
        <v>571</v>
      </c>
      <c r="B189" s="4" t="s">
        <v>77</v>
      </c>
      <c r="C189" s="5" t="n">
        <v>3.5</v>
      </c>
      <c r="D189" s="5" t="n">
        <v>1.78</v>
      </c>
      <c r="E189" s="5" t="n">
        <v>-30</v>
      </c>
      <c r="F189" s="4" t="s">
        <v>10</v>
      </c>
      <c r="G189" s="4" t="s">
        <v>572</v>
      </c>
      <c r="H189" s="4" t="s">
        <v>573</v>
      </c>
      <c r="I189" s="6" t="s">
        <v>13</v>
      </c>
    </row>
    <row r="190" spans="1:9">
      <c r="A190" s="4" t="s">
        <v>574</v>
      </c>
      <c r="B190" s="4" t="s">
        <v>77</v>
      </c>
      <c r="C190" s="5" t="n">
        <v>5.5</v>
      </c>
      <c r="E190" s="5" t="n">
        <v>-7</v>
      </c>
      <c r="F190" s="4" t="s">
        <v>10</v>
      </c>
      <c r="G190" s="4" t="s">
        <v>575</v>
      </c>
      <c r="H190" s="4" t="s">
        <v>576</v>
      </c>
      <c r="I190" s="6" t="s">
        <v>13</v>
      </c>
    </row>
    <row r="191" spans="1:9">
      <c r="A191" s="4" t="s">
        <v>577</v>
      </c>
      <c r="B191" s="4" t="s">
        <v>77</v>
      </c>
      <c r="C191" s="5" t="n">
        <v>3.5</v>
      </c>
      <c r="E191" s="5" t="n">
        <v>-24</v>
      </c>
      <c r="F191" s="4" t="s">
        <v>10</v>
      </c>
      <c r="G191" s="4" t="s">
        <v>578</v>
      </c>
      <c r="H191" s="4" t="s">
        <v>579</v>
      </c>
      <c r="I191" s="6" t="s">
        <v>13</v>
      </c>
    </row>
    <row r="192" spans="1:9">
      <c r="A192" s="4" t="s">
        <v>580</v>
      </c>
      <c r="B192" s="4" t="s">
        <v>77</v>
      </c>
      <c r="C192" s="5" t="n">
        <v>5.5</v>
      </c>
      <c r="E192" s="5" t="n">
        <v>-6</v>
      </c>
      <c r="F192" s="4" t="s">
        <v>10</v>
      </c>
      <c r="G192" s="4" t="s">
        <v>581</v>
      </c>
      <c r="H192" s="4" t="s">
        <v>582</v>
      </c>
      <c r="I192" s="6" t="s">
        <v>13</v>
      </c>
    </row>
    <row r="193" spans="1:9">
      <c r="A193" s="4">
        <f>="CHIC TRIDENT TUTTI FRUT 14U "</f>
      </c>
      <c r="B193" s="4" t="s">
        <v>77</v>
      </c>
      <c r="C193" s="5" t="n">
        <v>9</v>
      </c>
      <c r="E193" s="5" t="n">
        <v>-13</v>
      </c>
      <c r="F193" s="4" t="s">
        <v>10</v>
      </c>
      <c r="G193" s="4" t="s">
        <v>583</v>
      </c>
      <c r="H193" s="4" t="s">
        <v>584</v>
      </c>
      <c r="I193" s="6" t="s">
        <v>13</v>
      </c>
    </row>
    <row r="194" spans="1:9">
      <c r="A194" s="4" t="s">
        <v>585</v>
      </c>
      <c r="B194" s="4" t="s">
        <v>77</v>
      </c>
      <c r="C194" s="5" t="n">
        <v>3.5</v>
      </c>
      <c r="E194" s="5" t="n">
        <v>-5</v>
      </c>
      <c r="F194" s="4" t="s">
        <v>10</v>
      </c>
      <c r="G194" s="4" t="s">
        <v>586</v>
      </c>
      <c r="H194" s="4" t="s">
        <v>587</v>
      </c>
      <c r="I194" s="6" t="s">
        <v>13</v>
      </c>
    </row>
    <row r="195" spans="1:9">
      <c r="A195" s="4">
        <f>="CHIC TRIDENT X SENSES 14U "</f>
      </c>
      <c r="B195" s="4" t="s">
        <v>77</v>
      </c>
      <c r="C195" s="5" t="n">
        <v>9</v>
      </c>
      <c r="E195" s="5" t="n">
        <v>-10</v>
      </c>
      <c r="F195" s="4" t="s">
        <v>10</v>
      </c>
      <c r="G195" s="4" t="s">
        <v>588</v>
      </c>
      <c r="H195" s="4" t="s">
        <v>589</v>
      </c>
      <c r="I195" s="6" t="s">
        <v>13</v>
      </c>
    </row>
    <row r="196" spans="1:9">
      <c r="A196" s="4" t="s">
        <v>590</v>
      </c>
      <c r="B196" s="4" t="s">
        <v>77</v>
      </c>
      <c r="C196" s="5" t="n">
        <v>3.5</v>
      </c>
      <c r="E196" s="5" t="n">
        <v>-24</v>
      </c>
      <c r="F196" s="4" t="s">
        <v>10</v>
      </c>
      <c r="G196" s="4" t="s">
        <v>591</v>
      </c>
      <c r="H196" s="4" t="s">
        <v>592</v>
      </c>
      <c r="I196" s="6" t="s">
        <v>13</v>
      </c>
    </row>
    <row r="197" spans="1:9">
      <c r="A197" s="4" t="s">
        <v>590</v>
      </c>
      <c r="B197" s="4" t="s">
        <v>77</v>
      </c>
      <c r="C197" s="5" t="n">
        <v>3.5</v>
      </c>
      <c r="E197" s="5" t="n">
        <v>-12</v>
      </c>
      <c r="F197" s="4" t="s">
        <v>10</v>
      </c>
      <c r="G197" s="4" t="s">
        <v>593</v>
      </c>
      <c r="H197" s="4" t="s">
        <v>594</v>
      </c>
      <c r="I197" s="6" t="s">
        <v>13</v>
      </c>
    </row>
    <row r="198" spans="1:9">
      <c r="A198" s="4" t="s">
        <v>595</v>
      </c>
      <c r="B198" s="4" t="s">
        <v>77</v>
      </c>
      <c r="C198" s="5" t="n">
        <v>12.5</v>
      </c>
      <c r="D198" s="5" t="n">
        <v>8.1</v>
      </c>
      <c r="E198" s="5" t="n">
        <v>15</v>
      </c>
      <c r="F198" s="4" t="s">
        <v>10</v>
      </c>
      <c r="G198" s="4" t="s">
        <v>596</v>
      </c>
      <c r="H198" s="4" t="s">
        <v>597</v>
      </c>
      <c r="I198" s="6" t="s">
        <v>13</v>
      </c>
    </row>
    <row r="199" spans="1:9">
      <c r="A199" s="4" t="s">
        <v>598</v>
      </c>
      <c r="B199" s="4" t="s">
        <v>77</v>
      </c>
      <c r="C199" s="5" t="n">
        <v>12</v>
      </c>
      <c r="F199" s="4" t="s">
        <v>10</v>
      </c>
      <c r="G199" s="4" t="s">
        <v>599</v>
      </c>
      <c r="H199" s="4" t="s">
        <v>600</v>
      </c>
      <c r="I199" s="6" t="s">
        <v>13</v>
      </c>
    </row>
    <row r="200" spans="1:9">
      <c r="A200" s="4" t="s">
        <v>601</v>
      </c>
      <c r="B200" s="4" t="s">
        <v>77</v>
      </c>
      <c r="C200" s="5" t="n">
        <v>12</v>
      </c>
      <c r="E200" s="5" t="n">
        <v>-4</v>
      </c>
      <c r="F200" s="4" t="s">
        <v>10</v>
      </c>
      <c r="G200" s="4" t="s">
        <v>602</v>
      </c>
      <c r="H200" s="4" t="s">
        <v>603</v>
      </c>
      <c r="I200" s="6" t="s">
        <v>13</v>
      </c>
    </row>
    <row r="201" spans="1:9">
      <c r="A201" s="4" t="s">
        <v>604</v>
      </c>
      <c r="B201" s="4" t="s">
        <v>77</v>
      </c>
      <c r="C201" s="5" t="n">
        <v>12</v>
      </c>
      <c r="E201" s="5" t="n">
        <v>-2</v>
      </c>
      <c r="F201" s="4" t="s">
        <v>10</v>
      </c>
      <c r="G201" s="4" t="s">
        <v>605</v>
      </c>
      <c r="H201" s="4" t="s">
        <v>606</v>
      </c>
      <c r="I201" s="6" t="s">
        <v>13</v>
      </c>
    </row>
    <row r="202" spans="1:9">
      <c r="A202" s="4" t="s">
        <v>607</v>
      </c>
      <c r="B202" s="4" t="s">
        <v>77</v>
      </c>
      <c r="C202" s="5" t="n">
        <v>12.75</v>
      </c>
      <c r="E202" s="5" t="n">
        <v>-7</v>
      </c>
      <c r="F202" s="4" t="s">
        <v>10</v>
      </c>
      <c r="G202" s="4" t="s">
        <v>608</v>
      </c>
      <c r="H202" s="4" t="s">
        <v>609</v>
      </c>
      <c r="I202" s="6" t="s">
        <v>13</v>
      </c>
    </row>
    <row r="203" spans="1:9">
      <c r="A203" s="4" t="s">
        <v>610</v>
      </c>
      <c r="B203" s="4" t="s">
        <v>77</v>
      </c>
      <c r="C203" s="5" t="n">
        <v>12.75</v>
      </c>
      <c r="F203" s="4" t="s">
        <v>10</v>
      </c>
      <c r="G203" s="4" t="s">
        <v>611</v>
      </c>
      <c r="H203" s="4" t="s">
        <v>612</v>
      </c>
      <c r="I203" s="6" t="s">
        <v>13</v>
      </c>
    </row>
    <row r="204" spans="1:9">
      <c r="A204" s="4" t="s">
        <v>613</v>
      </c>
      <c r="B204" s="4" t="s">
        <v>77</v>
      </c>
      <c r="C204" s="5" t="n">
        <v>12.75</v>
      </c>
      <c r="E204" s="5" t="n">
        <v>-7</v>
      </c>
      <c r="F204" s="4" t="s">
        <v>10</v>
      </c>
      <c r="G204" s="4" t="s">
        <v>614</v>
      </c>
      <c r="H204" s="4" t="s">
        <v>615</v>
      </c>
      <c r="I204" s="6" t="s">
        <v>13</v>
      </c>
    </row>
    <row r="205" spans="1:9">
      <c r="A205" s="4" t="s">
        <v>616</v>
      </c>
      <c r="B205" s="4" t="s">
        <v>77</v>
      </c>
      <c r="C205" s="5" t="n">
        <v>12.75</v>
      </c>
      <c r="E205" s="5" t="n">
        <v>-3</v>
      </c>
      <c r="F205" s="4" t="s">
        <v>10</v>
      </c>
      <c r="G205" s="4" t="s">
        <v>617</v>
      </c>
      <c r="H205" s="4" t="s">
        <v>618</v>
      </c>
      <c r="I205" s="6" t="s">
        <v>13</v>
      </c>
    </row>
    <row r="206" spans="1:9">
      <c r="A206" s="4" t="s">
        <v>619</v>
      </c>
      <c r="B206" s="4" t="s">
        <v>77</v>
      </c>
      <c r="C206" s="5" t="n">
        <v>12.75</v>
      </c>
      <c r="E206" s="5" t="n">
        <v>-6</v>
      </c>
      <c r="F206" s="4" t="s">
        <v>10</v>
      </c>
      <c r="G206" s="4" t="s">
        <v>620</v>
      </c>
      <c r="H206" s="4" t="s">
        <v>621</v>
      </c>
      <c r="I206" s="6" t="s">
        <v>13</v>
      </c>
    </row>
    <row r="207" spans="1:9">
      <c r="A207" s="4" t="s">
        <v>622</v>
      </c>
      <c r="B207" s="4" t="s">
        <v>77</v>
      </c>
      <c r="C207" s="5" t="n">
        <v>12.75</v>
      </c>
      <c r="E207" s="5" t="n">
        <v>-3</v>
      </c>
      <c r="F207" s="4" t="s">
        <v>10</v>
      </c>
      <c r="G207" s="4" t="s">
        <v>623</v>
      </c>
      <c r="H207" s="4" t="s">
        <v>624</v>
      </c>
      <c r="I207" s="6" t="s">
        <v>13</v>
      </c>
    </row>
    <row r="208" spans="1:9">
      <c r="A208" s="4" t="s">
        <v>625</v>
      </c>
      <c r="B208" s="4" t="s">
        <v>77</v>
      </c>
      <c r="C208" s="5" t="n">
        <v>12.75</v>
      </c>
      <c r="E208" s="5" t="n">
        <v>-5</v>
      </c>
      <c r="F208" s="4" t="s">
        <v>10</v>
      </c>
      <c r="G208" s="4" t="s">
        <v>626</v>
      </c>
      <c r="H208" s="4" t="s">
        <v>627</v>
      </c>
      <c r="I208" s="6" t="s">
        <v>13</v>
      </c>
    </row>
    <row r="209" spans="1:9">
      <c r="A209" s="4" t="s">
        <v>628</v>
      </c>
      <c r="B209" s="4" t="s">
        <v>77</v>
      </c>
      <c r="C209" s="5" t="n">
        <v>12.75</v>
      </c>
      <c r="E209" s="5" t="n">
        <v>-4</v>
      </c>
      <c r="F209" s="4" t="s">
        <v>10</v>
      </c>
      <c r="G209" s="4" t="s">
        <v>629</v>
      </c>
      <c r="H209" s="4" t="s">
        <v>630</v>
      </c>
      <c r="I209" s="6" t="s">
        <v>13</v>
      </c>
    </row>
    <row r="210" spans="1:9">
      <c r="A210" s="4" t="s">
        <v>631</v>
      </c>
      <c r="B210" s="4" t="s">
        <v>77</v>
      </c>
      <c r="C210" s="5" t="n">
        <v>12.75</v>
      </c>
      <c r="E210" s="5" t="n">
        <v>-4</v>
      </c>
      <c r="F210" s="4" t="s">
        <v>10</v>
      </c>
      <c r="G210" s="4" t="s">
        <v>632</v>
      </c>
      <c r="H210" s="4" t="s">
        <v>633</v>
      </c>
      <c r="I210" s="6" t="s">
        <v>13</v>
      </c>
    </row>
    <row r="211" spans="1:9">
      <c r="A211" s="4" t="s">
        <v>634</v>
      </c>
      <c r="B211" s="4" t="s">
        <v>77</v>
      </c>
      <c r="C211" s="5" t="n">
        <v>11</v>
      </c>
      <c r="D211" s="5" t="n">
        <v>8.19</v>
      </c>
      <c r="E211" s="5" t="n">
        <v>10</v>
      </c>
      <c r="F211" s="4" t="s">
        <v>10</v>
      </c>
      <c r="G211" s="4" t="s">
        <v>635</v>
      </c>
      <c r="H211" s="4" t="s">
        <v>636</v>
      </c>
      <c r="I211" s="6" t="s">
        <v>13</v>
      </c>
    </row>
    <row r="212" spans="1:9">
      <c r="A212" s="4" t="s">
        <v>637</v>
      </c>
      <c r="B212" s="4" t="s">
        <v>77</v>
      </c>
      <c r="C212" s="5" t="n">
        <v>12.75</v>
      </c>
      <c r="E212" s="5" t="n">
        <v>-3</v>
      </c>
      <c r="F212" s="4" t="s">
        <v>10</v>
      </c>
      <c r="G212" s="4" t="s">
        <v>638</v>
      </c>
      <c r="H212" s="4" t="s">
        <v>639</v>
      </c>
      <c r="I212" s="6" t="s">
        <v>13</v>
      </c>
    </row>
    <row r="213" spans="1:9">
      <c r="A213" s="4" t="s">
        <v>640</v>
      </c>
      <c r="B213" s="4" t="s">
        <v>77</v>
      </c>
      <c r="C213" s="5" t="n">
        <v>2.5</v>
      </c>
      <c r="D213" s="5" t="n">
        <v>1.43</v>
      </c>
      <c r="E213" s="5" t="n">
        <v>-41</v>
      </c>
      <c r="F213" s="4" t="s">
        <v>10</v>
      </c>
      <c r="G213" s="4" t="s">
        <v>641</v>
      </c>
      <c r="H213" s="4" t="s">
        <v>642</v>
      </c>
      <c r="I213" s="6" t="s">
        <v>13</v>
      </c>
    </row>
    <row r="214" spans="1:9">
      <c r="A214" s="4" t="s">
        <v>643</v>
      </c>
      <c r="B214" s="4" t="s">
        <v>77</v>
      </c>
      <c r="C214" s="5" t="n">
        <v>2.5</v>
      </c>
      <c r="D214" s="5" t="n">
        <v>1.43</v>
      </c>
      <c r="E214" s="5" t="n">
        <v>-55</v>
      </c>
      <c r="F214" s="4" t="s">
        <v>10</v>
      </c>
      <c r="G214" s="4" t="s">
        <v>644</v>
      </c>
      <c r="H214" s="4" t="s">
        <v>645</v>
      </c>
      <c r="I214" s="6" t="s">
        <v>13</v>
      </c>
    </row>
    <row r="215" spans="1:9">
      <c r="A215" s="4" t="s">
        <v>646</v>
      </c>
      <c r="B215" s="4" t="s">
        <v>77</v>
      </c>
      <c r="C215" s="5" t="n">
        <v>6</v>
      </c>
      <c r="E215" s="5" t="n">
        <v>-8</v>
      </c>
      <c r="F215" s="4" t="s">
        <v>10</v>
      </c>
      <c r="G215" s="4" t="s">
        <v>647</v>
      </c>
      <c r="H215" s="4" t="s">
        <v>648</v>
      </c>
      <c r="I215" s="6" t="s">
        <v>13</v>
      </c>
    </row>
    <row r="216" spans="1:9">
      <c r="A216" s="4" t="s">
        <v>649</v>
      </c>
      <c r="B216" s="4" t="s">
        <v>77</v>
      </c>
      <c r="C216" s="5" t="n">
        <v>6</v>
      </c>
      <c r="F216" s="4" t="s">
        <v>10</v>
      </c>
      <c r="G216" s="4" t="s">
        <v>650</v>
      </c>
      <c r="H216" s="4" t="s">
        <v>651</v>
      </c>
      <c r="I216" s="6" t="s">
        <v>13</v>
      </c>
    </row>
    <row r="217" spans="1:9">
      <c r="A217" s="4" t="s">
        <v>652</v>
      </c>
      <c r="B217" s="4" t="s">
        <v>77</v>
      </c>
      <c r="C217" s="5" t="n">
        <v>6</v>
      </c>
      <c r="E217" s="5" t="n">
        <v>-15</v>
      </c>
      <c r="F217" s="4" t="s">
        <v>10</v>
      </c>
      <c r="G217" s="4" t="s">
        <v>653</v>
      </c>
      <c r="H217" s="4" t="s">
        <v>654</v>
      </c>
      <c r="I217" s="6" t="s">
        <v>13</v>
      </c>
    </row>
    <row r="218" spans="1:9">
      <c r="A218" s="4" t="s">
        <v>655</v>
      </c>
      <c r="B218" s="4" t="s">
        <v>77</v>
      </c>
      <c r="C218" s="5" t="n">
        <v>6</v>
      </c>
      <c r="E218" s="5" t="n">
        <v>-10</v>
      </c>
      <c r="F218" s="4" t="s">
        <v>10</v>
      </c>
      <c r="G218" s="4" t="s">
        <v>656</v>
      </c>
      <c r="H218" s="4" t="s">
        <v>657</v>
      </c>
      <c r="I218" s="6" t="s">
        <v>13</v>
      </c>
    </row>
    <row r="219" spans="1:9">
      <c r="A219" s="4" t="s">
        <v>658</v>
      </c>
      <c r="B219" s="4" t="s">
        <v>77</v>
      </c>
      <c r="C219" s="5" t="n">
        <v>3.75</v>
      </c>
      <c r="E219" s="5" t="n">
        <v>-2</v>
      </c>
      <c r="F219" s="4" t="s">
        <v>10</v>
      </c>
      <c r="G219" s="4" t="s">
        <v>659</v>
      </c>
      <c r="H219" s="4" t="s">
        <v>660</v>
      </c>
      <c r="I219" s="6" t="s">
        <v>13</v>
      </c>
    </row>
    <row r="220" spans="1:9">
      <c r="A220" s="4" t="s">
        <v>661</v>
      </c>
      <c r="B220" s="4" t="s">
        <v>77</v>
      </c>
      <c r="C220" s="5" t="n">
        <v>3</v>
      </c>
      <c r="E220" s="5" t="n">
        <v>-10</v>
      </c>
      <c r="F220" s="4" t="s">
        <v>10</v>
      </c>
      <c r="G220" s="4" t="s">
        <v>662</v>
      </c>
      <c r="H220" s="4" t="s">
        <v>663</v>
      </c>
      <c r="I220" s="6" t="s">
        <v>13</v>
      </c>
    </row>
    <row r="221" spans="1:9">
      <c r="A221" s="4" t="s">
        <v>664</v>
      </c>
      <c r="B221" s="4" t="s">
        <v>77</v>
      </c>
      <c r="C221" s="5" t="n">
        <v>3</v>
      </c>
      <c r="E221" s="5" t="n">
        <v>-3</v>
      </c>
      <c r="F221" s="4" t="s">
        <v>10</v>
      </c>
      <c r="G221" s="4" t="s">
        <v>665</v>
      </c>
      <c r="H221" s="4" t="s">
        <v>666</v>
      </c>
      <c r="I221" s="6" t="s">
        <v>13</v>
      </c>
    </row>
    <row r="222" spans="1:9">
      <c r="A222" s="4" t="s">
        <v>667</v>
      </c>
      <c r="B222" s="4" t="s">
        <v>77</v>
      </c>
      <c r="C222" s="5" t="n">
        <v>11</v>
      </c>
      <c r="E222" s="5" t="n">
        <v>-5</v>
      </c>
      <c r="F222" s="4" t="s">
        <v>10</v>
      </c>
      <c r="G222" s="4" t="s">
        <v>668</v>
      </c>
      <c r="H222" s="4" t="s">
        <v>669</v>
      </c>
      <c r="I222" s="6" t="s">
        <v>13</v>
      </c>
    </row>
    <row r="223" spans="1:9">
      <c r="A223" s="4" t="s">
        <v>670</v>
      </c>
      <c r="B223" s="4" t="s">
        <v>77</v>
      </c>
      <c r="C223" s="5" t="n">
        <v>4.5</v>
      </c>
      <c r="E223" s="5" t="n">
        <v>-27</v>
      </c>
      <c r="F223" s="4" t="s">
        <v>10</v>
      </c>
      <c r="G223" s="4" t="s">
        <v>671</v>
      </c>
      <c r="H223" s="4" t="s">
        <v>672</v>
      </c>
      <c r="I223" s="6" t="s">
        <v>13</v>
      </c>
    </row>
    <row r="224" spans="1:9">
      <c r="A224" s="4" t="s">
        <v>673</v>
      </c>
      <c r="B224" s="4" t="s">
        <v>77</v>
      </c>
      <c r="C224" s="5" t="n">
        <v>4</v>
      </c>
      <c r="D224" s="5" t="n">
        <v>2.63</v>
      </c>
      <c r="E224" s="5" t="n">
        <v>-19</v>
      </c>
      <c r="F224" s="4" t="s">
        <v>10</v>
      </c>
      <c r="G224" s="4" t="s">
        <v>674</v>
      </c>
      <c r="H224" s="4" t="s">
        <v>675</v>
      </c>
      <c r="I224" s="6" t="s">
        <v>13</v>
      </c>
    </row>
    <row r="225" spans="1:9">
      <c r="A225" s="4" t="s">
        <v>676</v>
      </c>
      <c r="B225" s="4" t="s">
        <v>77</v>
      </c>
      <c r="C225" s="5" t="n">
        <v>3.25</v>
      </c>
      <c r="D225" s="5" t="n">
        <v>2.49</v>
      </c>
      <c r="E225" s="5" t="n">
        <v>-30</v>
      </c>
      <c r="F225" s="4" t="s">
        <v>10</v>
      </c>
      <c r="G225" s="4" t="s">
        <v>677</v>
      </c>
      <c r="H225" s="4" t="s">
        <v>678</v>
      </c>
      <c r="I225" s="6" t="s">
        <v>13</v>
      </c>
    </row>
    <row r="226" spans="1:9">
      <c r="A226" s="4" t="s">
        <v>679</v>
      </c>
      <c r="B226" s="4" t="s">
        <v>77</v>
      </c>
      <c r="C226" s="5" t="n">
        <v>4</v>
      </c>
      <c r="D226" s="5" t="n">
        <v>2.63</v>
      </c>
      <c r="E226" s="5" t="n">
        <v>-21</v>
      </c>
      <c r="F226" s="4" t="s">
        <v>10</v>
      </c>
      <c r="G226" s="4" t="s">
        <v>680</v>
      </c>
      <c r="H226" s="4" t="s">
        <v>681</v>
      </c>
      <c r="I226" s="6" t="s">
        <v>13</v>
      </c>
    </row>
    <row r="227" spans="1:9">
      <c r="A227" s="4" t="s">
        <v>682</v>
      </c>
      <c r="B227" s="4" t="s">
        <v>77</v>
      </c>
      <c r="C227" s="5" t="n">
        <v>17</v>
      </c>
      <c r="E227" s="5" t="n">
        <v>-22</v>
      </c>
      <c r="F227" s="4" t="s">
        <v>10</v>
      </c>
      <c r="G227" s="4" t="s">
        <v>683</v>
      </c>
      <c r="H227" s="4" t="s">
        <v>684</v>
      </c>
      <c r="I227" s="6" t="s">
        <v>13</v>
      </c>
    </row>
    <row r="228" spans="1:9">
      <c r="A228" s="4" t="s">
        <v>685</v>
      </c>
      <c r="B228" s="4" t="s">
        <v>77</v>
      </c>
      <c r="C228" s="5" t="n">
        <v>6.5</v>
      </c>
      <c r="E228" s="5" t="n">
        <v>-25</v>
      </c>
      <c r="F228" s="4" t="s">
        <v>10</v>
      </c>
      <c r="G228" s="4" t="s">
        <v>686</v>
      </c>
      <c r="H228" s="4" t="s">
        <v>687</v>
      </c>
      <c r="I228" s="6" t="s">
        <v>13</v>
      </c>
    </row>
    <row r="229" spans="1:9">
      <c r="A229" s="4" t="s">
        <v>688</v>
      </c>
      <c r="B229" s="4" t="s">
        <v>77</v>
      </c>
      <c r="C229" s="5" t="n">
        <v>7</v>
      </c>
      <c r="D229" s="5" t="n">
        <v>3.61</v>
      </c>
      <c r="E229" s="5" t="n">
        <v>7</v>
      </c>
      <c r="F229" s="4" t="s">
        <v>10</v>
      </c>
      <c r="G229" s="4" t="s">
        <v>689</v>
      </c>
      <c r="H229" s="4" t="s">
        <v>690</v>
      </c>
      <c r="I229" s="6" t="s">
        <v>13</v>
      </c>
    </row>
    <row r="230" spans="1:9">
      <c r="A230" s="4" t="s">
        <v>691</v>
      </c>
      <c r="B230" s="4" t="s">
        <v>77</v>
      </c>
      <c r="C230" s="5" t="n">
        <v>3.5</v>
      </c>
      <c r="E230" s="5" t="n">
        <v>-7</v>
      </c>
      <c r="F230" s="4" t="s">
        <v>10</v>
      </c>
      <c r="G230" s="4" t="s">
        <v>692</v>
      </c>
      <c r="H230" s="4" t="s">
        <v>693</v>
      </c>
      <c r="I230" s="6" t="s">
        <v>13</v>
      </c>
    </row>
    <row r="231" spans="1:9">
      <c r="A231" s="4" t="s">
        <v>694</v>
      </c>
      <c r="B231" s="4" t="s">
        <v>77</v>
      </c>
      <c r="C231" s="5" t="n">
        <v>3.5</v>
      </c>
      <c r="E231" s="5" t="n">
        <v>-14</v>
      </c>
      <c r="F231" s="4" t="s">
        <v>10</v>
      </c>
      <c r="G231" s="4" t="s">
        <v>695</v>
      </c>
      <c r="H231" s="4" t="s">
        <v>696</v>
      </c>
      <c r="I231" s="6" t="s">
        <v>13</v>
      </c>
    </row>
    <row r="232" spans="1:9">
      <c r="A232" s="4" t="s">
        <v>697</v>
      </c>
      <c r="B232" s="4" t="s">
        <v>77</v>
      </c>
      <c r="C232" s="5" t="n">
        <v>5.5</v>
      </c>
      <c r="E232" s="5" t="n">
        <v>-20</v>
      </c>
      <c r="F232" s="4" t="s">
        <v>10</v>
      </c>
      <c r="G232" s="4" t="s">
        <v>698</v>
      </c>
      <c r="H232" s="4" t="s">
        <v>699</v>
      </c>
      <c r="I232" s="6" t="s">
        <v>13</v>
      </c>
    </row>
    <row r="233" spans="1:9">
      <c r="A233" s="4" t="s">
        <v>700</v>
      </c>
      <c r="B233" s="4" t="s">
        <v>77</v>
      </c>
      <c r="C233" s="5" t="n">
        <v>3.5</v>
      </c>
      <c r="E233" s="5" t="n">
        <v>-7</v>
      </c>
      <c r="F233" s="4" t="s">
        <v>10</v>
      </c>
      <c r="G233" s="4" t="s">
        <v>701</v>
      </c>
      <c r="H233" s="4" t="s">
        <v>702</v>
      </c>
      <c r="I233" s="6" t="s">
        <v>13</v>
      </c>
    </row>
    <row r="234" spans="1:9">
      <c r="A234" s="4" t="s">
        <v>703</v>
      </c>
      <c r="B234" s="4" t="s">
        <v>77</v>
      </c>
      <c r="C234" s="5" t="n">
        <v>5.5</v>
      </c>
      <c r="E234" s="5" t="n">
        <v>-13</v>
      </c>
      <c r="F234" s="4" t="s">
        <v>10</v>
      </c>
      <c r="G234" s="4" t="s">
        <v>704</v>
      </c>
      <c r="H234" s="4" t="s">
        <v>705</v>
      </c>
      <c r="I234" s="6" t="s">
        <v>13</v>
      </c>
    </row>
    <row r="235" spans="1:9">
      <c r="A235" s="4" t="s">
        <v>706</v>
      </c>
      <c r="B235" s="4" t="s">
        <v>77</v>
      </c>
      <c r="C235" s="5" t="n">
        <v>6</v>
      </c>
      <c r="E235" s="5" t="n">
        <v>-9</v>
      </c>
      <c r="F235" s="4" t="s">
        <v>10</v>
      </c>
      <c r="G235" s="4" t="s">
        <v>707</v>
      </c>
      <c r="H235" s="4" t="s">
        <v>708</v>
      </c>
      <c r="I235" s="6" t="s">
        <v>13</v>
      </c>
    </row>
    <row r="236" spans="1:9">
      <c r="A236" s="4" t="s">
        <v>709</v>
      </c>
      <c r="B236" s="4" t="s">
        <v>77</v>
      </c>
      <c r="C236" s="5" t="n">
        <v>3.75</v>
      </c>
      <c r="D236" s="5" t="n">
        <v>2.51</v>
      </c>
      <c r="E236" s="5" t="n">
        <v>3</v>
      </c>
      <c r="F236" s="4" t="s">
        <v>10</v>
      </c>
      <c r="G236" s="4" t="s">
        <v>710</v>
      </c>
      <c r="H236" s="4" t="s">
        <v>711</v>
      </c>
      <c r="I236" s="6" t="s">
        <v>13</v>
      </c>
    </row>
    <row r="237" spans="1:9">
      <c r="A237" s="4" t="s">
        <v>712</v>
      </c>
      <c r="B237" s="4" t="s">
        <v>77</v>
      </c>
      <c r="C237" s="5" t="n">
        <v>3.75</v>
      </c>
      <c r="E237" s="5" t="n">
        <v>-64</v>
      </c>
      <c r="F237" s="4" t="s">
        <v>10</v>
      </c>
      <c r="G237" s="4" t="s">
        <v>713</v>
      </c>
      <c r="H237" s="4" t="s">
        <v>714</v>
      </c>
      <c r="I237" s="6" t="s">
        <v>13</v>
      </c>
    </row>
    <row r="238" spans="1:9">
      <c r="A238" s="4" t="s">
        <v>715</v>
      </c>
      <c r="B238" s="4" t="s">
        <v>77</v>
      </c>
      <c r="C238" s="5" t="n">
        <v>4.5</v>
      </c>
      <c r="E238" s="5" t="n">
        <v>-21</v>
      </c>
      <c r="F238" s="4" t="s">
        <v>10</v>
      </c>
      <c r="G238" s="4" t="s">
        <v>716</v>
      </c>
      <c r="H238" s="4" t="s">
        <v>717</v>
      </c>
      <c r="I238" s="6" t="s">
        <v>13</v>
      </c>
    </row>
    <row r="239" spans="1:9">
      <c r="A239" s="4" t="s">
        <v>718</v>
      </c>
      <c r="B239" s="4" t="s">
        <v>77</v>
      </c>
      <c r="C239" s="5" t="n">
        <v>4.5</v>
      </c>
      <c r="D239" s="5" t="n">
        <v>2.49</v>
      </c>
      <c r="E239" s="5" t="n">
        <v>-31</v>
      </c>
      <c r="F239" s="4" t="s">
        <v>10</v>
      </c>
      <c r="G239" s="4" t="s">
        <v>719</v>
      </c>
      <c r="H239" s="4" t="s">
        <v>720</v>
      </c>
      <c r="I239" s="6" t="s">
        <v>13</v>
      </c>
    </row>
    <row r="240" spans="1:9">
      <c r="A240" s="4" t="s">
        <v>721</v>
      </c>
      <c r="B240" s="4" t="s">
        <v>77</v>
      </c>
      <c r="C240" s="5" t="n">
        <v>4.71</v>
      </c>
      <c r="E240" s="5" t="n">
        <v>-6</v>
      </c>
      <c r="F240" s="4" t="s">
        <v>10</v>
      </c>
      <c r="G240" s="4" t="s">
        <v>722</v>
      </c>
      <c r="H240" s="4" t="s">
        <v>723</v>
      </c>
      <c r="I240" s="6" t="s">
        <v>13</v>
      </c>
    </row>
    <row r="241" spans="1:9">
      <c r="A241" s="4" t="s">
        <v>724</v>
      </c>
      <c r="B241" s="4" t="s">
        <v>77</v>
      </c>
      <c r="C241" s="5" t="n">
        <v>3</v>
      </c>
      <c r="E241" s="5" t="n">
        <v>-21</v>
      </c>
      <c r="F241" s="4" t="s">
        <v>10</v>
      </c>
      <c r="G241" s="4" t="s">
        <v>725</v>
      </c>
      <c r="H241" s="4" t="s">
        <v>726</v>
      </c>
      <c r="I241" s="6" t="s">
        <v>13</v>
      </c>
    </row>
    <row r="242" spans="1:9">
      <c r="A242" s="4" t="s">
        <v>727</v>
      </c>
      <c r="B242" s="4" t="s">
        <v>77</v>
      </c>
      <c r="C242" s="5" t="n">
        <v>7</v>
      </c>
      <c r="E242" s="5" t="n">
        <v>-6</v>
      </c>
      <c r="F242" s="4" t="s">
        <v>10</v>
      </c>
      <c r="G242" s="4" t="s">
        <v>728</v>
      </c>
      <c r="H242" s="4" t="s">
        <v>729</v>
      </c>
      <c r="I242" s="6" t="s">
        <v>13</v>
      </c>
    </row>
    <row r="243" spans="1:9">
      <c r="A243" s="4" t="s">
        <v>730</v>
      </c>
      <c r="B243" s="4" t="s">
        <v>77</v>
      </c>
      <c r="C243" s="5" t="n">
        <v>4.5</v>
      </c>
      <c r="E243" s="5" t="n">
        <v>-25</v>
      </c>
      <c r="F243" s="4" t="s">
        <v>10</v>
      </c>
      <c r="G243" s="4" t="s">
        <v>731</v>
      </c>
      <c r="H243" s="4" t="s">
        <v>732</v>
      </c>
      <c r="I243" s="6" t="s">
        <v>13</v>
      </c>
    </row>
    <row r="244" spans="1:9">
      <c r="A244" s="4" t="s">
        <v>733</v>
      </c>
      <c r="B244" s="4" t="s">
        <v>77</v>
      </c>
      <c r="C244" s="5" t="n">
        <v>5.75</v>
      </c>
      <c r="D244" s="5" t="n">
        <v>3.73</v>
      </c>
      <c r="E244" s="5" t="n">
        <v>-5</v>
      </c>
      <c r="F244" s="4" t="s">
        <v>10</v>
      </c>
      <c r="G244" s="4" t="s">
        <v>734</v>
      </c>
      <c r="H244" s="4" t="s">
        <v>735</v>
      </c>
      <c r="I244" s="6" t="s">
        <v>13</v>
      </c>
    </row>
    <row r="245" spans="1:9">
      <c r="A245" s="4" t="s">
        <v>736</v>
      </c>
      <c r="B245" s="4" t="s">
        <v>77</v>
      </c>
      <c r="C245" s="5" t="n">
        <v>5.75</v>
      </c>
      <c r="E245" s="5" t="n">
        <v>-24</v>
      </c>
      <c r="F245" s="4" t="s">
        <v>10</v>
      </c>
      <c r="G245" s="4" t="s">
        <v>737</v>
      </c>
      <c r="H245" s="4" t="s">
        <v>738</v>
      </c>
      <c r="I245" s="6" t="s">
        <v>13</v>
      </c>
    </row>
    <row r="246" spans="1:9">
      <c r="A246" s="4" t="s">
        <v>739</v>
      </c>
      <c r="B246" s="4" t="s">
        <v>77</v>
      </c>
      <c r="C246" s="5" t="n">
        <v>5.75</v>
      </c>
      <c r="D246" s="5" t="n">
        <v>3.73</v>
      </c>
      <c r="E246" s="5" t="n">
        <v>-5</v>
      </c>
      <c r="F246" s="4" t="s">
        <v>10</v>
      </c>
      <c r="G246" s="4" t="s">
        <v>740</v>
      </c>
      <c r="H246" s="4" t="s">
        <v>741</v>
      </c>
      <c r="I246" s="6" t="s">
        <v>13</v>
      </c>
    </row>
    <row r="247" spans="1:9">
      <c r="A247" s="4" t="s">
        <v>742</v>
      </c>
      <c r="B247" s="4" t="s">
        <v>77</v>
      </c>
      <c r="C247" s="5" t="n">
        <v>2</v>
      </c>
      <c r="F247" s="4" t="s">
        <v>10</v>
      </c>
      <c r="G247" s="4" t="s">
        <v>743</v>
      </c>
      <c r="H247" s="4" t="s">
        <v>744</v>
      </c>
      <c r="I247" s="6" t="s">
        <v>13</v>
      </c>
    </row>
    <row r="248" spans="1:9">
      <c r="A248" s="4" t="s">
        <v>745</v>
      </c>
      <c r="B248" s="4" t="s">
        <v>77</v>
      </c>
      <c r="C248" s="5" t="n">
        <v>5.75</v>
      </c>
      <c r="F248" s="4" t="s">
        <v>10</v>
      </c>
      <c r="G248" s="4" t="s">
        <v>746</v>
      </c>
      <c r="H248" s="4" t="s">
        <v>747</v>
      </c>
      <c r="I248" s="6" t="s">
        <v>13</v>
      </c>
    </row>
    <row r="249" spans="1:9">
      <c r="A249" s="4" t="s">
        <v>748</v>
      </c>
      <c r="B249" s="4" t="s">
        <v>77</v>
      </c>
      <c r="C249" s="5" t="n">
        <v>5.5</v>
      </c>
      <c r="E249" s="5" t="n">
        <v>-11</v>
      </c>
      <c r="F249" s="4" t="s">
        <v>10</v>
      </c>
      <c r="G249" s="4" t="s">
        <v>749</v>
      </c>
      <c r="H249" s="4" t="s">
        <v>750</v>
      </c>
      <c r="I249" s="6" t="s">
        <v>13</v>
      </c>
    </row>
    <row r="250" spans="1:9">
      <c r="A250" s="4" t="s">
        <v>751</v>
      </c>
      <c r="B250" s="4" t="s">
        <v>77</v>
      </c>
      <c r="C250" s="5" t="n">
        <v>5.5</v>
      </c>
      <c r="E250" s="5" t="n">
        <v>-12</v>
      </c>
      <c r="F250" s="4" t="s">
        <v>10</v>
      </c>
      <c r="G250" s="4" t="s">
        <v>752</v>
      </c>
      <c r="H250" s="4" t="s">
        <v>753</v>
      </c>
      <c r="I250" s="6" t="s">
        <v>13</v>
      </c>
    </row>
    <row r="251" spans="1:9">
      <c r="A251" s="4" t="s">
        <v>754</v>
      </c>
      <c r="B251" s="4" t="s">
        <v>77</v>
      </c>
      <c r="C251" s="5" t="n">
        <v>5.5</v>
      </c>
      <c r="D251" s="5" t="n">
        <v>3.22</v>
      </c>
      <c r="E251" s="5" t="n">
        <v>2</v>
      </c>
      <c r="F251" s="4" t="s">
        <v>10</v>
      </c>
      <c r="G251" s="4" t="s">
        <v>755</v>
      </c>
      <c r="H251" s="4" t="s">
        <v>756</v>
      </c>
      <c r="I251" s="6" t="s">
        <v>13</v>
      </c>
    </row>
    <row r="252" spans="1:9">
      <c r="A252" s="4" t="s">
        <v>757</v>
      </c>
      <c r="B252" s="4" t="s">
        <v>77</v>
      </c>
      <c r="C252" s="5" t="n">
        <v>5.5</v>
      </c>
      <c r="E252" s="5" t="n">
        <v>-9</v>
      </c>
      <c r="F252" s="4" t="s">
        <v>10</v>
      </c>
      <c r="G252" s="4" t="s">
        <v>758</v>
      </c>
      <c r="H252" s="4" t="s">
        <v>759</v>
      </c>
      <c r="I252" s="6" t="s">
        <v>13</v>
      </c>
    </row>
    <row r="253" spans="1:9">
      <c r="A253" s="4" t="s">
        <v>760</v>
      </c>
      <c r="B253" s="4" t="s">
        <v>77</v>
      </c>
      <c r="C253" s="5" t="n">
        <v>7.75</v>
      </c>
      <c r="D253" s="5" t="n">
        <v>4.85</v>
      </c>
      <c r="E253" s="5" t="n">
        <v>11</v>
      </c>
      <c r="F253" s="4" t="s">
        <v>10</v>
      </c>
      <c r="G253" s="4" t="s">
        <v>761</v>
      </c>
      <c r="H253" s="4" t="s">
        <v>762</v>
      </c>
      <c r="I253" s="6" t="s">
        <v>13</v>
      </c>
    </row>
    <row r="254" spans="1:9">
      <c r="A254" s="4">
        <f>="CHOC TRENTO AMENDOIM C/ CARAMELO 25G "</f>
      </c>
      <c r="B254" s="4" t="s">
        <v>77</v>
      </c>
      <c r="C254" s="5" t="n">
        <v>4</v>
      </c>
      <c r="E254" s="5" t="n">
        <v>-2</v>
      </c>
      <c r="F254" s="4" t="s">
        <v>10</v>
      </c>
      <c r="G254" s="4" t="s">
        <v>763</v>
      </c>
      <c r="H254" s="4" t="s">
        <v>764</v>
      </c>
      <c r="I254" s="6" t="s">
        <v>13</v>
      </c>
    </row>
    <row r="255" spans="1:9">
      <c r="A255" s="4" t="s">
        <v>765</v>
      </c>
      <c r="B255" s="4" t="s">
        <v>77</v>
      </c>
      <c r="C255" s="5" t="n">
        <v>6.5</v>
      </c>
      <c r="E255" s="5" t="n">
        <v>-3</v>
      </c>
      <c r="F255" s="4" t="s">
        <v>10</v>
      </c>
      <c r="G255" s="4" t="s">
        <v>766</v>
      </c>
      <c r="H255" s="4" t="s">
        <v>767</v>
      </c>
      <c r="I255" s="6" t="s">
        <v>13</v>
      </c>
    </row>
    <row r="256" spans="1:9">
      <c r="A256" s="4" t="s">
        <v>768</v>
      </c>
      <c r="B256" s="4" t="s">
        <v>77</v>
      </c>
      <c r="C256" s="5" t="n">
        <v>4.5</v>
      </c>
      <c r="E256" s="5" t="n">
        <v>-2</v>
      </c>
      <c r="F256" s="4" t="s">
        <v>10</v>
      </c>
      <c r="G256" s="4" t="s">
        <v>769</v>
      </c>
      <c r="H256" s="4" t="s">
        <v>770</v>
      </c>
      <c r="I256" s="6" t="s">
        <v>13</v>
      </c>
    </row>
    <row r="257" spans="1:9">
      <c r="A257" s="4" t="s">
        <v>771</v>
      </c>
      <c r="B257" s="4" t="s">
        <v>77</v>
      </c>
      <c r="C257" s="5" t="n">
        <v>4</v>
      </c>
      <c r="E257" s="5" t="n">
        <v>-7</v>
      </c>
      <c r="F257" s="4" t="s">
        <v>10</v>
      </c>
      <c r="G257" s="4" t="s">
        <v>772</v>
      </c>
      <c r="H257" s="4" t="s">
        <v>773</v>
      </c>
      <c r="I257" s="6" t="s">
        <v>13</v>
      </c>
    </row>
    <row r="258" spans="1:9">
      <c r="A258" s="4" t="s">
        <v>774</v>
      </c>
      <c r="B258" s="4" t="s">
        <v>77</v>
      </c>
      <c r="C258" s="5" t="n">
        <v>6.5</v>
      </c>
      <c r="E258" s="5" t="n">
        <v>-2</v>
      </c>
      <c r="F258" s="4" t="s">
        <v>10</v>
      </c>
      <c r="G258" s="4" t="s">
        <v>775</v>
      </c>
      <c r="H258" s="4" t="s">
        <v>776</v>
      </c>
      <c r="I258" s="6" t="s">
        <v>13</v>
      </c>
    </row>
    <row r="259" spans="1:9">
      <c r="A259" s="4" t="s">
        <v>777</v>
      </c>
      <c r="B259" s="4" t="s">
        <v>77</v>
      </c>
      <c r="C259" s="5" t="n">
        <v>4</v>
      </c>
      <c r="E259" s="5" t="n">
        <v>-5</v>
      </c>
      <c r="F259" s="4" t="s">
        <v>10</v>
      </c>
      <c r="G259" s="4" t="s">
        <v>778</v>
      </c>
      <c r="H259" s="4" t="s">
        <v>779</v>
      </c>
      <c r="I259" s="6" t="s">
        <v>13</v>
      </c>
    </row>
    <row r="260" spans="1:9">
      <c r="A260" s="4" t="s">
        <v>780</v>
      </c>
      <c r="B260" s="4" t="s">
        <v>77</v>
      </c>
      <c r="C260" s="5" t="n">
        <v>4.5</v>
      </c>
      <c r="E260" s="5" t="n">
        <v>-4</v>
      </c>
      <c r="F260" s="4" t="s">
        <v>10</v>
      </c>
      <c r="G260" s="4" t="s">
        <v>781</v>
      </c>
      <c r="H260" s="4" t="s">
        <v>782</v>
      </c>
      <c r="I260" s="6" t="s">
        <v>13</v>
      </c>
    </row>
    <row r="261" spans="1:9">
      <c r="A261" s="4" t="s">
        <v>783</v>
      </c>
      <c r="B261" s="4" t="s">
        <v>77</v>
      </c>
      <c r="C261" s="5" t="n">
        <v>4</v>
      </c>
      <c r="E261" s="5" t="n">
        <v>-1</v>
      </c>
      <c r="F261" s="4" t="s">
        <v>10</v>
      </c>
      <c r="G261" s="4" t="s">
        <v>784</v>
      </c>
      <c r="H261" s="4" t="s">
        <v>785</v>
      </c>
      <c r="I261" s="6" t="s">
        <v>13</v>
      </c>
    </row>
    <row r="262" spans="1:9">
      <c r="A262" s="4" t="s">
        <v>786</v>
      </c>
      <c r="B262" s="4" t="s">
        <v>77</v>
      </c>
      <c r="C262" s="5" t="n">
        <v>4.5</v>
      </c>
      <c r="D262" s="5" t="n">
        <v>2.36</v>
      </c>
      <c r="E262" s="5" t="n">
        <v>16</v>
      </c>
      <c r="F262" s="4" t="s">
        <v>10</v>
      </c>
      <c r="G262" s="4" t="s">
        <v>787</v>
      </c>
      <c r="H262" s="4" t="s">
        <v>788</v>
      </c>
      <c r="I262" s="6" t="s">
        <v>13</v>
      </c>
    </row>
    <row r="263" spans="1:9">
      <c r="A263" s="4" t="s">
        <v>789</v>
      </c>
      <c r="B263" s="4" t="s">
        <v>77</v>
      </c>
      <c r="C263" s="5" t="n">
        <v>4</v>
      </c>
      <c r="E263" s="5" t="n">
        <v>-1</v>
      </c>
      <c r="F263" s="4" t="s">
        <v>10</v>
      </c>
      <c r="G263" s="4" t="s">
        <v>790</v>
      </c>
      <c r="H263" s="4" t="s">
        <v>791</v>
      </c>
      <c r="I263" s="6" t="s">
        <v>13</v>
      </c>
    </row>
    <row r="264" spans="1:9">
      <c r="A264" s="4" t="s">
        <v>792</v>
      </c>
      <c r="B264" s="4" t="s">
        <v>77</v>
      </c>
      <c r="C264" s="5" t="n">
        <v>4</v>
      </c>
      <c r="E264" s="5" t="n">
        <v>-1</v>
      </c>
      <c r="F264" s="4" t="s">
        <v>10</v>
      </c>
      <c r="G264" s="4" t="s">
        <v>793</v>
      </c>
      <c r="H264" s="4" t="s">
        <v>794</v>
      </c>
      <c r="I264" s="6" t="s">
        <v>13</v>
      </c>
    </row>
    <row r="265" spans="1:9">
      <c r="A265" s="4" t="s">
        <v>795</v>
      </c>
      <c r="B265" s="4" t="s">
        <v>77</v>
      </c>
      <c r="C265" s="5" t="n">
        <v>4</v>
      </c>
      <c r="E265" s="5" t="n">
        <v>-6</v>
      </c>
      <c r="F265" s="4" t="s">
        <v>10</v>
      </c>
      <c r="G265" s="4" t="s">
        <v>796</v>
      </c>
      <c r="H265" s="4" t="s">
        <v>797</v>
      </c>
      <c r="I265" s="6" t="s">
        <v>13</v>
      </c>
    </row>
    <row r="266" spans="1:9">
      <c r="A266" s="4" t="s">
        <v>798</v>
      </c>
      <c r="B266" s="4" t="s">
        <v>77</v>
      </c>
      <c r="C266" s="5" t="n">
        <v>4.5</v>
      </c>
      <c r="E266" s="5" t="n">
        <v>-4</v>
      </c>
      <c r="F266" s="4" t="s">
        <v>10</v>
      </c>
      <c r="G266" s="4" t="s">
        <v>799</v>
      </c>
      <c r="H266" s="4" t="s">
        <v>800</v>
      </c>
      <c r="I266" s="6" t="s">
        <v>13</v>
      </c>
    </row>
    <row r="267" spans="1:9">
      <c r="A267" s="4" t="s">
        <v>801</v>
      </c>
      <c r="B267" s="4" t="s">
        <v>77</v>
      </c>
      <c r="C267" s="5" t="n">
        <v>6.5</v>
      </c>
      <c r="F267" s="4" t="s">
        <v>10</v>
      </c>
      <c r="G267" s="4" t="s">
        <v>802</v>
      </c>
      <c r="H267" s="4" t="s">
        <v>803</v>
      </c>
      <c r="I267" s="6" t="s">
        <v>13</v>
      </c>
    </row>
    <row r="268" spans="1:9">
      <c r="A268" s="4" t="s">
        <v>804</v>
      </c>
      <c r="B268" s="4" t="s">
        <v>77</v>
      </c>
      <c r="C268" s="5" t="n">
        <v>4</v>
      </c>
      <c r="D268" s="5" t="n">
        <v>2.13</v>
      </c>
      <c r="E268" s="5" t="n">
        <v>15</v>
      </c>
      <c r="F268" s="4" t="s">
        <v>10</v>
      </c>
      <c r="G268" s="4" t="s">
        <v>805</v>
      </c>
      <c r="H268" s="4" t="s">
        <v>806</v>
      </c>
      <c r="I268" s="6" t="s">
        <v>13</v>
      </c>
    </row>
    <row r="269" spans="1:9">
      <c r="A269" s="4" t="s">
        <v>807</v>
      </c>
      <c r="B269" s="4" t="s">
        <v>77</v>
      </c>
      <c r="C269" s="5" t="n">
        <v>6.5</v>
      </c>
      <c r="F269" s="4" t="s">
        <v>10</v>
      </c>
      <c r="G269" s="4" t="s">
        <v>808</v>
      </c>
      <c r="H269" s="4" t="s">
        <v>809</v>
      </c>
      <c r="I269" s="6" t="s">
        <v>13</v>
      </c>
    </row>
    <row r="270" spans="1:9">
      <c r="A270" s="4" t="s">
        <v>810</v>
      </c>
      <c r="B270" s="4" t="s">
        <v>77</v>
      </c>
      <c r="C270" s="5" t="n">
        <v>4</v>
      </c>
      <c r="E270" s="5" t="n">
        <v>-3</v>
      </c>
      <c r="F270" s="4" t="s">
        <v>10</v>
      </c>
      <c r="G270" s="4" t="s">
        <v>811</v>
      </c>
      <c r="H270" s="4" t="s">
        <v>812</v>
      </c>
      <c r="I270" s="6" t="s">
        <v>13</v>
      </c>
    </row>
    <row r="271" spans="1:9">
      <c r="A271" s="4" t="s">
        <v>813</v>
      </c>
      <c r="B271" s="4" t="s">
        <v>77</v>
      </c>
      <c r="C271" s="5" t="n">
        <v>4.5</v>
      </c>
      <c r="E271" s="5" t="n">
        <v>-2</v>
      </c>
      <c r="F271" s="4" t="s">
        <v>10</v>
      </c>
      <c r="G271" s="4" t="s">
        <v>814</v>
      </c>
      <c r="H271" s="4" t="s">
        <v>815</v>
      </c>
      <c r="I271" s="6" t="s">
        <v>13</v>
      </c>
    </row>
    <row r="272" spans="1:9">
      <c r="A272" s="4" t="s">
        <v>816</v>
      </c>
      <c r="B272" s="4" t="s">
        <v>14</v>
      </c>
      <c r="C272" s="5" t="n">
        <v>10.9</v>
      </c>
      <c r="D272" s="5" t="n">
        <v>0.86</v>
      </c>
      <c r="F272" s="4" t="s">
        <v>10</v>
      </c>
      <c r="G272" s="4" t="s">
        <v>817</v>
      </c>
      <c r="H272" s="4" t="s">
        <v>818</v>
      </c>
      <c r="I272" s="6" t="s">
        <v>13</v>
      </c>
    </row>
    <row r="273" spans="1:9">
      <c r="A273" s="4" t="s">
        <v>819</v>
      </c>
      <c r="B273" s="4" t="s">
        <v>820</v>
      </c>
      <c r="C273" s="5" t="n">
        <v>15.25</v>
      </c>
      <c r="D273" s="5" t="n">
        <v>14.06</v>
      </c>
      <c r="E273" s="5" t="n">
        <v>-11</v>
      </c>
      <c r="F273" s="4" t="s">
        <v>10</v>
      </c>
      <c r="G273" s="4" t="s">
        <v>821</v>
      </c>
      <c r="H273" s="4" t="s">
        <v>822</v>
      </c>
      <c r="I273" s="6" t="s">
        <v>13</v>
      </c>
    </row>
    <row r="274" spans="1:9">
      <c r="A274" s="4" t="s">
        <v>823</v>
      </c>
      <c r="B274" s="4" t="s">
        <v>824</v>
      </c>
      <c r="C274" s="5" t="n">
        <v>12.9</v>
      </c>
      <c r="F274" s="4" t="s">
        <v>10</v>
      </c>
      <c r="G274" s="4" t="s">
        <v>825</v>
      </c>
      <c r="H274" s="4" t="s">
        <v>826</v>
      </c>
      <c r="I274" s="6" t="s">
        <v>13</v>
      </c>
    </row>
    <row r="275" spans="1:9">
      <c r="A275" s="4" t="s">
        <v>827</v>
      </c>
      <c r="B275" s="4" t="s">
        <v>824</v>
      </c>
      <c r="C275" s="5" t="n">
        <v>11.9</v>
      </c>
      <c r="F275" s="4" t="s">
        <v>10</v>
      </c>
      <c r="G275" s="4" t="s">
        <v>828</v>
      </c>
      <c r="H275" s="4" t="s">
        <v>829</v>
      </c>
      <c r="I275" s="6" t="s">
        <v>13</v>
      </c>
    </row>
    <row r="276" spans="1:9">
      <c r="A276" s="4" t="s">
        <v>830</v>
      </c>
      <c r="B276" s="4" t="s">
        <v>824</v>
      </c>
      <c r="C276" s="5" t="n">
        <v>11.9</v>
      </c>
      <c r="F276" s="4" t="s">
        <v>10</v>
      </c>
      <c r="G276" s="4" t="s">
        <v>831</v>
      </c>
      <c r="H276" s="4" t="s">
        <v>832</v>
      </c>
      <c r="I276" s="6" t="s">
        <v>13</v>
      </c>
    </row>
    <row r="277" spans="1:9">
      <c r="A277" s="4" t="s">
        <v>833</v>
      </c>
      <c r="B277" s="4" t="s">
        <v>820</v>
      </c>
      <c r="C277" s="5" t="n">
        <v>30</v>
      </c>
      <c r="E277" s="5" t="n">
        <v>8</v>
      </c>
      <c r="F277" s="4" t="s">
        <v>10</v>
      </c>
      <c r="G277" s="4" t="s">
        <v>834</v>
      </c>
      <c r="H277" s="4" t="s">
        <v>835</v>
      </c>
      <c r="I277" s="6" t="s">
        <v>13</v>
      </c>
    </row>
    <row r="278" spans="1:9">
      <c r="A278" s="4" t="s">
        <v>836</v>
      </c>
      <c r="B278" s="4" t="s">
        <v>820</v>
      </c>
      <c r="C278" s="5" t="n">
        <v>15.25</v>
      </c>
      <c r="E278" s="5" t="n">
        <v>3</v>
      </c>
      <c r="F278" s="4" t="s">
        <v>10</v>
      </c>
      <c r="G278" s="4" t="s">
        <v>837</v>
      </c>
      <c r="H278" s="4" t="s">
        <v>838</v>
      </c>
      <c r="I278" s="6" t="s">
        <v>13</v>
      </c>
    </row>
    <row r="279" spans="1:9">
      <c r="A279" s="4" t="s">
        <v>839</v>
      </c>
      <c r="B279" s="4" t="s">
        <v>820</v>
      </c>
      <c r="C279" s="5" t="n">
        <v>14.75</v>
      </c>
      <c r="E279" s="5" t="n">
        <v>-1</v>
      </c>
      <c r="F279" s="4" t="s">
        <v>10</v>
      </c>
      <c r="G279" s="4" t="s">
        <v>840</v>
      </c>
      <c r="H279" s="4" t="s">
        <v>841</v>
      </c>
      <c r="I279" s="6" t="s">
        <v>13</v>
      </c>
    </row>
    <row r="280" spans="1:9">
      <c r="A280" s="4" t="s">
        <v>842</v>
      </c>
      <c r="B280" s="4" t="s">
        <v>820</v>
      </c>
      <c r="C280" s="5" t="n">
        <v>8.75</v>
      </c>
      <c r="E280" s="5" t="n">
        <v>-2</v>
      </c>
      <c r="F280" s="4" t="s">
        <v>10</v>
      </c>
      <c r="G280" s="4" t="s">
        <v>843</v>
      </c>
      <c r="H280" s="4" t="s">
        <v>844</v>
      </c>
      <c r="I280" s="6" t="s">
        <v>13</v>
      </c>
    </row>
    <row r="281" spans="1:9">
      <c r="A281" s="4" t="s">
        <v>845</v>
      </c>
      <c r="B281" s="4" t="s">
        <v>820</v>
      </c>
      <c r="C281" s="5" t="n">
        <v>14.75</v>
      </c>
      <c r="E281" s="5" t="n">
        <v>3</v>
      </c>
      <c r="F281" s="4" t="s">
        <v>10</v>
      </c>
      <c r="G281" s="4" t="s">
        <v>846</v>
      </c>
      <c r="H281" s="4" t="s">
        <v>847</v>
      </c>
      <c r="I281" s="6" t="s">
        <v>13</v>
      </c>
    </row>
    <row r="282" spans="1:9">
      <c r="A282" s="4" t="s">
        <v>848</v>
      </c>
      <c r="B282" s="4" t="s">
        <v>820</v>
      </c>
      <c r="C282" s="5" t="n">
        <v>8.75</v>
      </c>
      <c r="E282" s="5" t="n">
        <v>1</v>
      </c>
      <c r="F282" s="4" t="s">
        <v>10</v>
      </c>
      <c r="G282" s="4" t="s">
        <v>849</v>
      </c>
      <c r="H282" s="4" t="s">
        <v>850</v>
      </c>
      <c r="I282" s="6" t="s">
        <v>13</v>
      </c>
    </row>
    <row r="283" spans="1:9">
      <c r="A283" s="4" t="s">
        <v>851</v>
      </c>
      <c r="B283" s="4" t="s">
        <v>820</v>
      </c>
      <c r="C283" s="5" t="n">
        <v>9.5</v>
      </c>
      <c r="E283" s="5" t="n">
        <v>8</v>
      </c>
      <c r="F283" s="4" t="s">
        <v>10</v>
      </c>
      <c r="G283" s="4" t="s">
        <v>852</v>
      </c>
      <c r="H283" s="4" t="s">
        <v>853</v>
      </c>
      <c r="I283" s="6" t="s">
        <v>13</v>
      </c>
    </row>
    <row r="284" spans="1:9">
      <c r="A284" s="4" t="s">
        <v>854</v>
      </c>
      <c r="B284" s="4" t="s">
        <v>820</v>
      </c>
      <c r="C284" s="5" t="n">
        <v>20</v>
      </c>
      <c r="E284" s="5" t="n">
        <v>2</v>
      </c>
      <c r="F284" s="4" t="s">
        <v>10</v>
      </c>
      <c r="G284" s="4" t="s">
        <v>855</v>
      </c>
      <c r="H284" s="4" t="s">
        <v>856</v>
      </c>
      <c r="I284" s="6" t="s">
        <v>13</v>
      </c>
    </row>
    <row r="285" spans="1:9">
      <c r="A285" s="4" t="s">
        <v>857</v>
      </c>
      <c r="B285" s="4" t="s">
        <v>820</v>
      </c>
      <c r="C285" s="5" t="n">
        <v>20</v>
      </c>
      <c r="E285" s="5" t="n">
        <v>-1</v>
      </c>
      <c r="F285" s="4" t="s">
        <v>10</v>
      </c>
      <c r="G285" s="4" t="s">
        <v>858</v>
      </c>
      <c r="H285" s="4" t="s">
        <v>859</v>
      </c>
      <c r="I285" s="6" t="s">
        <v>13</v>
      </c>
    </row>
    <row r="286" spans="1:9">
      <c r="A286" s="4">
        <f>="COCADA RECHEADA "</f>
      </c>
      <c r="B286" s="4" t="s">
        <v>77</v>
      </c>
      <c r="C286" s="5" t="n">
        <v>2.5</v>
      </c>
      <c r="D286" s="5" t="n">
        <v>0.98</v>
      </c>
      <c r="E286" s="5" t="n">
        <v>105</v>
      </c>
      <c r="F286" s="4" t="s">
        <v>10</v>
      </c>
      <c r="G286" s="4" t="s">
        <v>860</v>
      </c>
      <c r="H286" s="4" t="s">
        <v>861</v>
      </c>
      <c r="I286" s="6" t="s">
        <v>13</v>
      </c>
    </row>
    <row r="287" spans="1:9">
      <c r="A287" s="4" t="s">
        <v>862</v>
      </c>
      <c r="B287" s="4" t="s">
        <v>824</v>
      </c>
      <c r="C287" s="5" t="n">
        <v>14.9</v>
      </c>
      <c r="D287" s="5" t="n">
        <v>6.97</v>
      </c>
      <c r="F287" s="4" t="s">
        <v>10</v>
      </c>
      <c r="G287" s="4" t="s">
        <v>863</v>
      </c>
      <c r="H287" s="4" t="s">
        <v>864</v>
      </c>
      <c r="I287" s="6" t="s">
        <v>13</v>
      </c>
    </row>
    <row r="288" spans="1:9">
      <c r="A288" s="4" t="s">
        <v>865</v>
      </c>
      <c r="B288" s="4" t="s">
        <v>824</v>
      </c>
      <c r="C288" s="5" t="n">
        <v>12.9</v>
      </c>
      <c r="D288" s="5" t="n">
        <v>7.42</v>
      </c>
      <c r="F288" s="4" t="s">
        <v>10</v>
      </c>
      <c r="G288" s="4" t="s">
        <v>866</v>
      </c>
      <c r="H288" s="4" t="s">
        <v>867</v>
      </c>
      <c r="I288" s="6" t="s">
        <v>13</v>
      </c>
    </row>
    <row r="289" spans="1:9">
      <c r="A289" s="4" t="s">
        <v>868</v>
      </c>
      <c r="B289" s="4" t="s">
        <v>824</v>
      </c>
      <c r="C289" s="5" t="n">
        <v>11.9</v>
      </c>
      <c r="D289" s="5" t="n">
        <v>31.19</v>
      </c>
      <c r="F289" s="4" t="s">
        <v>10</v>
      </c>
      <c r="G289" s="4" t="s">
        <v>869</v>
      </c>
      <c r="H289" s="4" t="s">
        <v>870</v>
      </c>
      <c r="I289" s="6" t="s">
        <v>13</v>
      </c>
    </row>
    <row r="290" spans="1:9">
      <c r="A290" s="4" t="s">
        <v>871</v>
      </c>
      <c r="B290" s="4" t="s">
        <v>824</v>
      </c>
      <c r="C290" s="5" t="n">
        <v>12.9</v>
      </c>
      <c r="D290" s="5" t="n">
        <v>31.4</v>
      </c>
      <c r="F290" s="4" t="s">
        <v>10</v>
      </c>
      <c r="G290" s="4" t="s">
        <v>872</v>
      </c>
      <c r="H290" s="4" t="s">
        <v>873</v>
      </c>
      <c r="I290" s="6" t="s">
        <v>13</v>
      </c>
    </row>
    <row r="291" spans="1:9">
      <c r="A291" s="4" t="s">
        <v>874</v>
      </c>
      <c r="B291" s="4" t="s">
        <v>875</v>
      </c>
      <c r="C291" s="5" t="n">
        <v>36.9</v>
      </c>
      <c r="D291" s="5" t="n">
        <v>9.61</v>
      </c>
      <c r="F291" s="4" t="s">
        <v>10</v>
      </c>
      <c r="G291" s="4" t="s">
        <v>876</v>
      </c>
      <c r="H291" s="4" t="s">
        <v>877</v>
      </c>
      <c r="I291" s="6" t="s">
        <v>13</v>
      </c>
    </row>
    <row r="292" spans="1:9">
      <c r="A292" s="4" t="s">
        <v>878</v>
      </c>
      <c r="B292" s="4" t="s">
        <v>875</v>
      </c>
      <c r="C292" s="5" t="n">
        <v>31.9</v>
      </c>
      <c r="D292" s="5" t="n">
        <v>3.01</v>
      </c>
      <c r="F292" s="4" t="s">
        <v>10</v>
      </c>
      <c r="G292" s="4" t="s">
        <v>879</v>
      </c>
      <c r="H292" s="4" t="s">
        <v>880</v>
      </c>
      <c r="I292" s="6" t="s">
        <v>13</v>
      </c>
    </row>
    <row r="293" spans="1:9">
      <c r="A293" s="4" t="s">
        <v>881</v>
      </c>
      <c r="B293" s="4" t="s">
        <v>875</v>
      </c>
      <c r="C293" s="5" t="n">
        <v>17.9</v>
      </c>
      <c r="D293" s="5" t="n">
        <v>3.01</v>
      </c>
      <c r="F293" s="4" t="s">
        <v>10</v>
      </c>
      <c r="G293" s="4" t="s">
        <v>882</v>
      </c>
      <c r="H293" s="4" t="s">
        <v>883</v>
      </c>
      <c r="I293" s="6" t="s">
        <v>13</v>
      </c>
    </row>
    <row r="294" spans="1:9">
      <c r="A294" s="4" t="s">
        <v>884</v>
      </c>
      <c r="B294" s="4" t="s">
        <v>875</v>
      </c>
      <c r="C294" s="5" t="n">
        <v>41.9</v>
      </c>
      <c r="D294" s="5" t="n">
        <v>16.89</v>
      </c>
      <c r="F294" s="4" t="s">
        <v>10</v>
      </c>
      <c r="G294" s="4" t="s">
        <v>885</v>
      </c>
      <c r="H294" s="4" t="s">
        <v>886</v>
      </c>
      <c r="I294" s="6" t="s">
        <v>13</v>
      </c>
    </row>
    <row r="295" spans="1:9">
      <c r="A295" s="4" t="s">
        <v>887</v>
      </c>
      <c r="B295" s="4" t="s">
        <v>875</v>
      </c>
      <c r="C295" s="5" t="n">
        <v>40.9</v>
      </c>
      <c r="D295" s="5" t="n">
        <v>9.16</v>
      </c>
      <c r="F295" s="4" t="s">
        <v>10</v>
      </c>
      <c r="G295" s="4" t="s">
        <v>888</v>
      </c>
      <c r="H295" s="4" t="s">
        <v>889</v>
      </c>
      <c r="I295" s="6" t="s">
        <v>13</v>
      </c>
    </row>
    <row r="296" spans="1:9">
      <c r="A296" s="4" t="s">
        <v>890</v>
      </c>
      <c r="B296" s="4" t="s">
        <v>875</v>
      </c>
      <c r="C296" s="5" t="n">
        <v>37.9</v>
      </c>
      <c r="D296" s="5" t="n">
        <v>15.01</v>
      </c>
      <c r="F296" s="4" t="s">
        <v>10</v>
      </c>
      <c r="G296" s="4" t="s">
        <v>891</v>
      </c>
      <c r="H296" s="4" t="s">
        <v>892</v>
      </c>
      <c r="I296" s="6" t="s">
        <v>13</v>
      </c>
    </row>
    <row r="297" spans="1:9">
      <c r="A297" s="4" t="s">
        <v>893</v>
      </c>
      <c r="B297" s="4" t="s">
        <v>875</v>
      </c>
      <c r="C297" s="5" t="n">
        <v>33.9</v>
      </c>
      <c r="D297" s="5" t="n">
        <v>7.74</v>
      </c>
      <c r="F297" s="4" t="s">
        <v>10</v>
      </c>
      <c r="G297" s="4" t="s">
        <v>894</v>
      </c>
      <c r="H297" s="4" t="s">
        <v>895</v>
      </c>
      <c r="I297" s="6" t="s">
        <v>13</v>
      </c>
    </row>
    <row r="298" spans="1:9">
      <c r="A298" s="4" t="s">
        <v>896</v>
      </c>
      <c r="B298" s="4" t="s">
        <v>875</v>
      </c>
      <c r="C298" s="5" t="n">
        <v>29.9</v>
      </c>
      <c r="D298" s="5" t="n">
        <v>8.48</v>
      </c>
      <c r="F298" s="4" t="s">
        <v>10</v>
      </c>
      <c r="G298" s="4" t="s">
        <v>897</v>
      </c>
      <c r="H298" s="4" t="s">
        <v>898</v>
      </c>
      <c r="I298" s="6" t="s">
        <v>13</v>
      </c>
    </row>
    <row r="299" spans="1:9">
      <c r="A299" s="4" t="s">
        <v>899</v>
      </c>
      <c r="B299" s="4" t="s">
        <v>183</v>
      </c>
      <c r="C299" s="5" t="n">
        <v>35.9</v>
      </c>
      <c r="D299" s="5" t="n">
        <v>20</v>
      </c>
      <c r="F299" s="4" t="s">
        <v>10</v>
      </c>
      <c r="G299" s="4" t="s">
        <v>900</v>
      </c>
      <c r="H299" s="4" t="s">
        <v>901</v>
      </c>
      <c r="I299" s="6" t="s">
        <v>13</v>
      </c>
    </row>
    <row r="300" spans="1:9">
      <c r="A300" s="4" t="s">
        <v>902</v>
      </c>
      <c r="B300" s="4" t="s">
        <v>77</v>
      </c>
      <c r="C300" s="5" t="n">
        <v>10</v>
      </c>
      <c r="D300" s="5" t="n">
        <v>6</v>
      </c>
      <c r="E300" s="5" t="n">
        <v>11</v>
      </c>
      <c r="F300" s="4" t="s">
        <v>10</v>
      </c>
      <c r="G300" s="4" t="s">
        <v>903</v>
      </c>
      <c r="H300" s="4" t="s">
        <v>904</v>
      </c>
      <c r="I300" s="6" t="s">
        <v>13</v>
      </c>
    </row>
    <row r="301" spans="1:9">
      <c r="A301" s="4" t="s">
        <v>905</v>
      </c>
      <c r="B301" s="4" t="s">
        <v>77</v>
      </c>
      <c r="C301" s="5" t="n">
        <v>4</v>
      </c>
      <c r="D301" s="5" t="n">
        <v>1.29</v>
      </c>
      <c r="E301" s="5" t="n">
        <v>75</v>
      </c>
      <c r="F301" s="4" t="s">
        <v>10</v>
      </c>
      <c r="G301" s="4" t="s">
        <v>906</v>
      </c>
      <c r="H301" s="4" t="s">
        <v>907</v>
      </c>
      <c r="I301" s="6" t="s">
        <v>13</v>
      </c>
    </row>
    <row r="302" spans="1:9">
      <c r="A302" s="4" t="s">
        <v>908</v>
      </c>
      <c r="B302" s="4" t="s">
        <v>14</v>
      </c>
      <c r="C302" s="5" t="n">
        <v>5</v>
      </c>
      <c r="D302" s="5" t="n">
        <v>2.65</v>
      </c>
      <c r="F302" s="4" t="s">
        <v>10</v>
      </c>
      <c r="G302" s="4" t="s">
        <v>909</v>
      </c>
      <c r="H302" s="4" t="s">
        <v>910</v>
      </c>
      <c r="I302" s="6" t="s">
        <v>13</v>
      </c>
    </row>
    <row r="303" spans="1:9">
      <c r="A303" s="4" t="s">
        <v>911</v>
      </c>
      <c r="B303" s="4" t="s">
        <v>77</v>
      </c>
      <c r="C303" s="5" t="n">
        <v>2.5</v>
      </c>
      <c r="D303" s="5" t="n">
        <v>1.38</v>
      </c>
      <c r="E303" s="5" t="n">
        <v>9</v>
      </c>
      <c r="F303" s="4" t="s">
        <v>10</v>
      </c>
      <c r="G303" s="4" t="s">
        <v>912</v>
      </c>
      <c r="H303" s="4" t="s">
        <v>913</v>
      </c>
      <c r="I303" s="6" t="s">
        <v>13</v>
      </c>
    </row>
    <row r="304" spans="1:9">
      <c r="A304" s="4" t="s">
        <v>914</v>
      </c>
      <c r="B304" s="4" t="s">
        <v>77</v>
      </c>
      <c r="C304" s="5" t="n">
        <v>1.75</v>
      </c>
      <c r="E304" s="5" t="n">
        <v>-26</v>
      </c>
      <c r="F304" s="4" t="s">
        <v>10</v>
      </c>
      <c r="G304" s="4" t="s">
        <v>915</v>
      </c>
      <c r="H304" s="4" t="s">
        <v>916</v>
      </c>
      <c r="I304" s="6" t="s">
        <v>13</v>
      </c>
    </row>
    <row r="305" spans="1:9">
      <c r="A305" s="4" t="s">
        <v>917</v>
      </c>
      <c r="B305" s="4" t="s">
        <v>77</v>
      </c>
      <c r="C305" s="5" t="n">
        <v>3.5</v>
      </c>
      <c r="E305" s="5" t="n">
        <v>-7</v>
      </c>
      <c r="F305" s="4" t="s">
        <v>10</v>
      </c>
      <c r="G305" s="4" t="s">
        <v>918</v>
      </c>
      <c r="H305" s="4" t="s">
        <v>919</v>
      </c>
      <c r="I305" s="6" t="s">
        <v>13</v>
      </c>
    </row>
    <row r="306" spans="1:9">
      <c r="A306" s="4" t="s">
        <v>920</v>
      </c>
      <c r="B306" s="4" t="s">
        <v>77</v>
      </c>
      <c r="C306" s="5" t="n">
        <v>7</v>
      </c>
      <c r="E306" s="5" t="n">
        <v>13</v>
      </c>
      <c r="F306" s="4" t="s">
        <v>10</v>
      </c>
      <c r="G306" s="4" t="s">
        <v>921</v>
      </c>
      <c r="H306" s="4" t="s">
        <v>922</v>
      </c>
      <c r="I306" s="6" t="s">
        <v>13</v>
      </c>
    </row>
    <row r="307" spans="1:9">
      <c r="A307" s="4" t="s">
        <v>923</v>
      </c>
      <c r="B307" s="4" t="s">
        <v>524</v>
      </c>
      <c r="C307" s="5" t="n">
        <v>15.5</v>
      </c>
      <c r="E307" s="5" t="n">
        <v>-2</v>
      </c>
      <c r="F307" s="4" t="s">
        <v>10</v>
      </c>
      <c r="G307" s="4" t="s">
        <v>924</v>
      </c>
      <c r="H307" s="4" t="s">
        <v>925</v>
      </c>
      <c r="I307" s="6" t="s">
        <v>13</v>
      </c>
    </row>
    <row r="308" spans="1:9">
      <c r="A308" s="4" t="s">
        <v>926</v>
      </c>
      <c r="B308" s="4" t="s">
        <v>524</v>
      </c>
      <c r="C308" s="5" t="n">
        <v>15.25</v>
      </c>
      <c r="F308" s="4" t="s">
        <v>10</v>
      </c>
      <c r="G308" s="4" t="s">
        <v>927</v>
      </c>
      <c r="H308" s="4" t="s">
        <v>928</v>
      </c>
      <c r="I308" s="6" t="s">
        <v>13</v>
      </c>
    </row>
    <row r="309" spans="1:9">
      <c r="A309" s="4" t="s">
        <v>929</v>
      </c>
      <c r="B309" s="4" t="s">
        <v>524</v>
      </c>
      <c r="C309" s="5" t="n">
        <v>14.5</v>
      </c>
      <c r="E309" s="5" t="n">
        <v>-4</v>
      </c>
      <c r="F309" s="4" t="s">
        <v>10</v>
      </c>
      <c r="G309" s="4" t="s">
        <v>930</v>
      </c>
      <c r="H309" s="4" t="s">
        <v>931</v>
      </c>
      <c r="I309" s="6" t="s">
        <v>13</v>
      </c>
    </row>
    <row r="310" spans="1:9">
      <c r="A310" s="4" t="s">
        <v>932</v>
      </c>
      <c r="B310" s="4" t="s">
        <v>524</v>
      </c>
      <c r="C310" s="5" t="n">
        <v>7</v>
      </c>
      <c r="E310" s="5" t="n">
        <v>-9</v>
      </c>
      <c r="F310" s="4" t="s">
        <v>10</v>
      </c>
      <c r="G310" s="4" t="s">
        <v>933</v>
      </c>
      <c r="H310" s="4" t="s">
        <v>934</v>
      </c>
      <c r="I310" s="6" t="s">
        <v>13</v>
      </c>
    </row>
    <row r="311" spans="1:9">
      <c r="A311" s="4" t="s">
        <v>935</v>
      </c>
      <c r="B311" s="4" t="s">
        <v>524</v>
      </c>
      <c r="C311" s="5" t="n">
        <v>14.5</v>
      </c>
      <c r="E311" s="5" t="n">
        <v>-15</v>
      </c>
      <c r="F311" s="4" t="s">
        <v>10</v>
      </c>
      <c r="G311" s="4" t="s">
        <v>936</v>
      </c>
      <c r="H311" s="4" t="s">
        <v>937</v>
      </c>
      <c r="I311" s="6" t="s">
        <v>13</v>
      </c>
    </row>
    <row r="312" spans="1:9">
      <c r="A312" s="4" t="s">
        <v>938</v>
      </c>
      <c r="B312" s="4" t="s">
        <v>524</v>
      </c>
      <c r="C312" s="5" t="n">
        <v>14</v>
      </c>
      <c r="E312" s="5" t="n">
        <v>-2</v>
      </c>
      <c r="F312" s="4" t="s">
        <v>10</v>
      </c>
      <c r="G312" s="4" t="s">
        <v>939</v>
      </c>
      <c r="H312" s="4" t="s">
        <v>940</v>
      </c>
      <c r="I312" s="6" t="s">
        <v>13</v>
      </c>
    </row>
    <row r="313" spans="1:9">
      <c r="A313" s="4" t="s">
        <v>941</v>
      </c>
      <c r="B313" s="4">
        <f>="(3) MT  -  MATERIAIS|(3.1) MT | EMBALAGENS "</f>
      </c>
      <c r="C313" s="5" t="n">
        <v>0.5</v>
      </c>
      <c r="D313" s="5" t="n">
        <v>0.25</v>
      </c>
      <c r="E313" s="5" t="n">
        <v>400</v>
      </c>
      <c r="F313" s="4" t="s">
        <v>10</v>
      </c>
      <c r="G313" s="4" t="s">
        <v>942</v>
      </c>
      <c r="H313" s="4" t="s">
        <v>943</v>
      </c>
      <c r="I313" s="6" t="s">
        <v>13</v>
      </c>
    </row>
    <row r="314" spans="1:9">
      <c r="A314" s="4" t="s">
        <v>944</v>
      </c>
      <c r="B314" s="4" t="s">
        <v>45</v>
      </c>
      <c r="C314" s="5" t="n">
        <v>1</v>
      </c>
      <c r="E314" s="5" t="n">
        <v>-395</v>
      </c>
      <c r="F314" s="4" t="s">
        <v>10</v>
      </c>
      <c r="G314" s="4" t="s">
        <v>945</v>
      </c>
      <c r="H314" s="4" t="s">
        <v>946</v>
      </c>
      <c r="I314" s="6" t="s">
        <v>13</v>
      </c>
    </row>
    <row r="315" spans="1:9">
      <c r="A315" s="4" t="s">
        <v>947</v>
      </c>
      <c r="B315" s="4" t="s">
        <v>824</v>
      </c>
      <c r="C315" s="5" t="n">
        <v>15.9</v>
      </c>
      <c r="D315" s="5" t="n">
        <v>6.89</v>
      </c>
      <c r="F315" s="4" t="s">
        <v>10</v>
      </c>
      <c r="G315" s="4" t="s">
        <v>948</v>
      </c>
      <c r="H315" s="4" t="s">
        <v>949</v>
      </c>
      <c r="I315" s="6" t="s">
        <v>13</v>
      </c>
    </row>
    <row r="316" spans="1:9">
      <c r="A316" s="4" t="s">
        <v>950</v>
      </c>
      <c r="B316" s="4" t="s">
        <v>824</v>
      </c>
      <c r="C316" s="5" t="n">
        <v>12.9</v>
      </c>
      <c r="D316" s="5" t="n">
        <v>3.94</v>
      </c>
      <c r="F316" s="4" t="s">
        <v>10</v>
      </c>
      <c r="G316" s="4" t="s">
        <v>951</v>
      </c>
      <c r="H316" s="4" t="s">
        <v>952</v>
      </c>
      <c r="I316" s="6" t="s">
        <v>13</v>
      </c>
    </row>
    <row r="317" spans="1:9">
      <c r="A317" s="4" t="s">
        <v>953</v>
      </c>
      <c r="B317" s="4" t="s">
        <v>824</v>
      </c>
      <c r="C317" s="5" t="n">
        <v>11.9</v>
      </c>
      <c r="D317" s="5" t="n">
        <v>0.65</v>
      </c>
      <c r="F317" s="4" t="s">
        <v>10</v>
      </c>
      <c r="G317" s="4" t="s">
        <v>954</v>
      </c>
      <c r="H317" s="4" t="s">
        <v>955</v>
      </c>
      <c r="I317" s="6" t="s">
        <v>13</v>
      </c>
    </row>
    <row r="318" spans="1:9">
      <c r="A318" s="4" t="s">
        <v>956</v>
      </c>
      <c r="B318" s="4" t="s">
        <v>51</v>
      </c>
      <c r="C318" s="5" t="n">
        <v>12.9</v>
      </c>
      <c r="D318" s="5" t="n">
        <v>7.96</v>
      </c>
      <c r="E318" s="5" t="n">
        <v>-1</v>
      </c>
      <c r="F318" s="4" t="s">
        <v>10</v>
      </c>
      <c r="G318" s="4" t="s">
        <v>957</v>
      </c>
      <c r="H318" s="4" t="s">
        <v>958</v>
      </c>
      <c r="I318" s="6" t="s">
        <v>13</v>
      </c>
    </row>
    <row r="319" spans="1:9">
      <c r="A319" s="4" t="s">
        <v>959</v>
      </c>
      <c r="B319" s="4" t="s">
        <v>51</v>
      </c>
      <c r="C319" s="5" t="n">
        <v>12.9</v>
      </c>
      <c r="D319" s="5" t="n">
        <v>7.98</v>
      </c>
      <c r="E319" s="5" t="n">
        <v>-4</v>
      </c>
      <c r="F319" s="4" t="s">
        <v>10</v>
      </c>
      <c r="G319" s="4" t="s">
        <v>960</v>
      </c>
      <c r="H319" s="4" t="s">
        <v>961</v>
      </c>
      <c r="I319" s="6" t="s">
        <v>13</v>
      </c>
    </row>
    <row r="320" spans="1:9">
      <c r="A320" s="4" t="s">
        <v>962</v>
      </c>
      <c r="B320" s="4" t="s">
        <v>51</v>
      </c>
      <c r="C320" s="5" t="n">
        <v>12.9</v>
      </c>
      <c r="D320" s="5" t="n">
        <v>7.98</v>
      </c>
      <c r="E320" s="5" t="n">
        <v>2</v>
      </c>
      <c r="F320" s="4" t="s">
        <v>10</v>
      </c>
      <c r="G320" s="4" t="s">
        <v>963</v>
      </c>
      <c r="H320" s="4" t="s">
        <v>964</v>
      </c>
      <c r="I320" s="6" t="s">
        <v>13</v>
      </c>
    </row>
    <row r="321" spans="1:9">
      <c r="A321" s="4" t="s">
        <v>965</v>
      </c>
      <c r="B321" s="4" t="s">
        <v>51</v>
      </c>
      <c r="C321" s="5" t="n">
        <v>12.99</v>
      </c>
      <c r="D321" s="5" t="n">
        <v>7.96</v>
      </c>
      <c r="E321" s="5" t="n">
        <v>1</v>
      </c>
      <c r="F321" s="4" t="s">
        <v>10</v>
      </c>
      <c r="G321" s="4" t="s">
        <v>966</v>
      </c>
      <c r="H321" s="4" t="s">
        <v>967</v>
      </c>
      <c r="I321" s="6" t="s">
        <v>13</v>
      </c>
    </row>
    <row r="322" spans="1:9">
      <c r="A322" s="4" t="s">
        <v>968</v>
      </c>
      <c r="B322" s="4" t="s">
        <v>51</v>
      </c>
      <c r="C322" s="5" t="n">
        <v>7.5</v>
      </c>
      <c r="D322" s="5" t="n">
        <v>3.9</v>
      </c>
      <c r="E322" s="5" t="n">
        <v>18</v>
      </c>
      <c r="F322" s="4" t="s">
        <v>10</v>
      </c>
      <c r="G322" s="4" t="s">
        <v>969</v>
      </c>
      <c r="H322" s="4" t="s">
        <v>970</v>
      </c>
      <c r="I322" s="6" t="s">
        <v>13</v>
      </c>
    </row>
    <row r="323" spans="1:9">
      <c r="A323" s="4" t="s">
        <v>971</v>
      </c>
      <c r="B323" s="4" t="s">
        <v>51</v>
      </c>
      <c r="C323" s="5" t="n">
        <v>3.5</v>
      </c>
      <c r="E323" s="5" t="n">
        <v>41</v>
      </c>
      <c r="F323" s="4" t="s">
        <v>10</v>
      </c>
      <c r="G323" s="4" t="s">
        <v>972</v>
      </c>
      <c r="H323" s="4" t="s">
        <v>973</v>
      </c>
      <c r="I323" s="6" t="s">
        <v>13</v>
      </c>
    </row>
    <row r="324" spans="1:9">
      <c r="A324" s="4" t="s">
        <v>974</v>
      </c>
      <c r="B324" s="4" t="s">
        <v>51</v>
      </c>
      <c r="C324" s="5" t="n">
        <v>7.5</v>
      </c>
      <c r="E324" s="5" t="n">
        <v>9</v>
      </c>
      <c r="F324" s="4" t="s">
        <v>10</v>
      </c>
      <c r="G324" s="4" t="s">
        <v>975</v>
      </c>
      <c r="H324" s="4" t="s">
        <v>976</v>
      </c>
      <c r="I324" s="6" t="s">
        <v>13</v>
      </c>
    </row>
    <row r="325" spans="1:9">
      <c r="A325" s="4" t="s">
        <v>977</v>
      </c>
      <c r="B325" s="4" t="s">
        <v>51</v>
      </c>
      <c r="C325" s="5" t="n">
        <v>17</v>
      </c>
      <c r="E325" s="5" t="n">
        <v>-23</v>
      </c>
      <c r="F325" s="4" t="s">
        <v>10</v>
      </c>
      <c r="G325" s="4" t="s">
        <v>978</v>
      </c>
      <c r="H325" s="4" t="s">
        <v>979</v>
      </c>
      <c r="I325" s="6" t="s">
        <v>13</v>
      </c>
    </row>
    <row r="326" spans="1:9">
      <c r="A326" s="4" t="s">
        <v>980</v>
      </c>
      <c r="B326" s="4" t="s">
        <v>51</v>
      </c>
      <c r="C326" s="5" t="n">
        <v>17</v>
      </c>
      <c r="D326" s="5" t="n">
        <v>10.56</v>
      </c>
      <c r="E326" s="5" t="n">
        <v>-21</v>
      </c>
      <c r="F326" s="4" t="s">
        <v>10</v>
      </c>
      <c r="G326" s="4" t="s">
        <v>981</v>
      </c>
      <c r="H326" s="4" t="s">
        <v>982</v>
      </c>
      <c r="I326" s="6" t="s">
        <v>13</v>
      </c>
    </row>
    <row r="327" spans="1:9">
      <c r="A327" s="4" t="s">
        <v>983</v>
      </c>
      <c r="B327" s="4" t="s">
        <v>51</v>
      </c>
      <c r="C327" s="5" t="n">
        <v>17</v>
      </c>
      <c r="E327" s="5" t="n">
        <v>-7</v>
      </c>
      <c r="F327" s="4" t="s">
        <v>10</v>
      </c>
      <c r="G327" s="4" t="s">
        <v>984</v>
      </c>
      <c r="H327" s="4" t="s">
        <v>985</v>
      </c>
      <c r="I327" s="6" t="s">
        <v>13</v>
      </c>
    </row>
    <row r="328" spans="1:9">
      <c r="A328" s="4" t="s">
        <v>986</v>
      </c>
      <c r="B328" s="4" t="s">
        <v>51</v>
      </c>
      <c r="C328" s="5" t="n">
        <v>17</v>
      </c>
      <c r="D328" s="5" t="n">
        <v>10.56</v>
      </c>
      <c r="E328" s="5" t="n">
        <v>-11</v>
      </c>
      <c r="F328" s="4" t="s">
        <v>10</v>
      </c>
      <c r="G328" s="4" t="s">
        <v>987</v>
      </c>
      <c r="H328" s="4" t="s">
        <v>988</v>
      </c>
      <c r="I328" s="6" t="s">
        <v>13</v>
      </c>
    </row>
    <row r="329" spans="1:9">
      <c r="A329" s="4" t="s">
        <v>989</v>
      </c>
      <c r="B329" s="4" t="s">
        <v>51</v>
      </c>
      <c r="C329" s="5" t="n">
        <v>17</v>
      </c>
      <c r="E329" s="5" t="n">
        <v>-8</v>
      </c>
      <c r="F329" s="4" t="s">
        <v>10</v>
      </c>
      <c r="G329" s="4" t="s">
        <v>990</v>
      </c>
      <c r="H329" s="4" t="s">
        <v>991</v>
      </c>
      <c r="I329" s="6" t="s">
        <v>13</v>
      </c>
    </row>
    <row r="330" spans="1:9">
      <c r="A330" s="4" t="s">
        <v>992</v>
      </c>
      <c r="B330" s="4" t="s">
        <v>51</v>
      </c>
      <c r="C330" s="5" t="n">
        <v>10</v>
      </c>
      <c r="E330" s="5" t="n">
        <v>-1</v>
      </c>
      <c r="F330" s="4" t="s">
        <v>10</v>
      </c>
      <c r="G330" s="4" t="s">
        <v>993</v>
      </c>
      <c r="H330" s="4" t="s">
        <v>994</v>
      </c>
      <c r="I330" s="6" t="s">
        <v>13</v>
      </c>
    </row>
    <row r="331" spans="1:9">
      <c r="A331" s="4" t="s">
        <v>995</v>
      </c>
      <c r="B331" s="4" t="s">
        <v>51</v>
      </c>
      <c r="C331" s="5" t="n">
        <v>14</v>
      </c>
      <c r="E331" s="5" t="n">
        <v>-5</v>
      </c>
      <c r="F331" s="4" t="s">
        <v>10</v>
      </c>
      <c r="G331" s="4" t="s">
        <v>996</v>
      </c>
      <c r="H331" s="4" t="s">
        <v>997</v>
      </c>
      <c r="I331" s="6" t="s">
        <v>13</v>
      </c>
    </row>
    <row r="332" spans="1:9">
      <c r="A332" s="4" t="s">
        <v>998</v>
      </c>
      <c r="B332" s="4" t="s">
        <v>51</v>
      </c>
      <c r="C332" s="5" t="n">
        <v>10</v>
      </c>
      <c r="E332" s="5" t="n">
        <v>-5</v>
      </c>
      <c r="F332" s="4" t="s">
        <v>10</v>
      </c>
      <c r="G332" s="4" t="s">
        <v>999</v>
      </c>
      <c r="H332" s="4" t="s">
        <v>1000</v>
      </c>
      <c r="I332" s="6" t="s">
        <v>13</v>
      </c>
    </row>
    <row r="333" spans="1:9">
      <c r="A333" s="4" t="s">
        <v>1001</v>
      </c>
      <c r="B333" s="4" t="s">
        <v>51</v>
      </c>
      <c r="C333" s="5" t="n">
        <v>14</v>
      </c>
      <c r="D333" s="5" t="n">
        <v>7.18</v>
      </c>
      <c r="E333" s="5" t="n">
        <v>5</v>
      </c>
      <c r="F333" s="4" t="s">
        <v>10</v>
      </c>
      <c r="G333" s="4" t="s">
        <v>1002</v>
      </c>
      <c r="H333" s="4" t="s">
        <v>1003</v>
      </c>
      <c r="I333" s="6" t="s">
        <v>13</v>
      </c>
    </row>
    <row r="334" spans="1:9">
      <c r="A334" s="4" t="s">
        <v>1004</v>
      </c>
      <c r="B334" s="4" t="s">
        <v>51</v>
      </c>
      <c r="C334" s="5" t="n">
        <v>10</v>
      </c>
      <c r="E334" s="5" t="n">
        <v>-2</v>
      </c>
      <c r="F334" s="4" t="s">
        <v>10</v>
      </c>
      <c r="G334" s="4" t="s">
        <v>1005</v>
      </c>
      <c r="H334" s="4" t="s">
        <v>1006</v>
      </c>
      <c r="I334" s="6" t="s">
        <v>13</v>
      </c>
    </row>
    <row r="335" spans="1:9">
      <c r="A335" s="4" t="s">
        <v>1007</v>
      </c>
      <c r="B335" s="4" t="s">
        <v>51</v>
      </c>
      <c r="C335" s="5" t="n">
        <v>14</v>
      </c>
      <c r="D335" s="5" t="n">
        <v>7.18</v>
      </c>
      <c r="F335" s="4" t="s">
        <v>10</v>
      </c>
      <c r="G335" s="4" t="s">
        <v>1008</v>
      </c>
      <c r="H335" s="4" t="s">
        <v>1009</v>
      </c>
      <c r="I335" s="6" t="s">
        <v>13</v>
      </c>
    </row>
    <row r="336" spans="1:9">
      <c r="A336" s="4" t="s">
        <v>1010</v>
      </c>
      <c r="B336" s="4" t="s">
        <v>51</v>
      </c>
      <c r="C336" s="5" t="n">
        <v>10</v>
      </c>
      <c r="E336" s="5" t="n">
        <v>-7</v>
      </c>
      <c r="F336" s="4" t="s">
        <v>10</v>
      </c>
      <c r="G336" s="4" t="s">
        <v>1011</v>
      </c>
      <c r="H336" s="4" t="s">
        <v>1012</v>
      </c>
      <c r="I336" s="6" t="s">
        <v>13</v>
      </c>
    </row>
    <row r="337" spans="1:9">
      <c r="A337" s="4" t="s">
        <v>1013</v>
      </c>
      <c r="B337" s="4" t="s">
        <v>51</v>
      </c>
      <c r="C337" s="5" t="n">
        <v>14</v>
      </c>
      <c r="E337" s="5" t="n">
        <v>-10</v>
      </c>
      <c r="F337" s="4" t="s">
        <v>10</v>
      </c>
      <c r="G337" s="4" t="s">
        <v>1014</v>
      </c>
      <c r="H337" s="4" t="s">
        <v>1015</v>
      </c>
      <c r="I337" s="6" t="s">
        <v>13</v>
      </c>
    </row>
    <row r="338" spans="1:9">
      <c r="A338" s="4" t="s">
        <v>1016</v>
      </c>
      <c r="B338" s="4" t="s">
        <v>51</v>
      </c>
      <c r="C338" s="5" t="n">
        <v>14</v>
      </c>
      <c r="D338" s="5" t="n">
        <v>7.18</v>
      </c>
      <c r="E338" s="5" t="n">
        <v>5</v>
      </c>
      <c r="F338" s="4" t="s">
        <v>10</v>
      </c>
      <c r="G338" s="4" t="s">
        <v>1017</v>
      </c>
      <c r="H338" s="4" t="s">
        <v>1018</v>
      </c>
      <c r="I338" s="6" t="s">
        <v>13</v>
      </c>
    </row>
    <row r="339" spans="1:9">
      <c r="A339" s="4" t="s">
        <v>1019</v>
      </c>
      <c r="B339" s="4" t="s">
        <v>51</v>
      </c>
      <c r="C339" s="5" t="n">
        <v>14</v>
      </c>
      <c r="E339" s="5" t="n">
        <v>-5</v>
      </c>
      <c r="F339" s="4" t="s">
        <v>10</v>
      </c>
      <c r="G339" s="4" t="s">
        <v>1020</v>
      </c>
      <c r="H339" s="4" t="s">
        <v>1021</v>
      </c>
      <c r="I339" s="6" t="s">
        <v>13</v>
      </c>
    </row>
    <row r="340" spans="1:9">
      <c r="A340" s="4" t="s">
        <v>1022</v>
      </c>
      <c r="B340" s="4" t="s">
        <v>51</v>
      </c>
      <c r="C340" s="5" t="n">
        <v>10</v>
      </c>
      <c r="E340" s="5" t="n">
        <v>-1</v>
      </c>
      <c r="F340" s="4" t="s">
        <v>10</v>
      </c>
      <c r="G340" s="4" t="s">
        <v>1023</v>
      </c>
      <c r="H340" s="4" t="s">
        <v>1024</v>
      </c>
      <c r="I340" s="6" t="s">
        <v>13</v>
      </c>
    </row>
    <row r="341" spans="1:9">
      <c r="A341" s="4" t="s">
        <v>1025</v>
      </c>
      <c r="B341" s="4" t="s">
        <v>51</v>
      </c>
      <c r="C341" s="5" t="n">
        <v>14</v>
      </c>
      <c r="E341" s="5" t="n">
        <v>-1</v>
      </c>
      <c r="F341" s="4" t="s">
        <v>10</v>
      </c>
      <c r="G341" s="4" t="s">
        <v>1026</v>
      </c>
      <c r="H341" s="4" t="s">
        <v>1027</v>
      </c>
      <c r="I341" s="6" t="s">
        <v>13</v>
      </c>
    </row>
    <row r="342" spans="1:9">
      <c r="A342" s="4" t="s">
        <v>1028</v>
      </c>
      <c r="B342" s="4" t="s">
        <v>51</v>
      </c>
      <c r="C342" s="5" t="n">
        <v>10</v>
      </c>
      <c r="E342" s="5" t="n">
        <v>-5</v>
      </c>
      <c r="F342" s="4" t="s">
        <v>10</v>
      </c>
      <c r="G342" s="4" t="s">
        <v>1029</v>
      </c>
      <c r="H342" s="4" t="s">
        <v>1030</v>
      </c>
      <c r="I342" s="6" t="s">
        <v>13</v>
      </c>
    </row>
    <row r="343" spans="1:9">
      <c r="A343" s="4" t="s">
        <v>1031</v>
      </c>
      <c r="B343" s="4" t="s">
        <v>51</v>
      </c>
      <c r="F343" s="4" t="s">
        <v>10</v>
      </c>
      <c r="G343" s="4" t="s">
        <v>1032</v>
      </c>
      <c r="H343" s="4" t="s">
        <v>1033</v>
      </c>
      <c r="I343" s="6" t="s">
        <v>13</v>
      </c>
    </row>
    <row r="344" spans="1:9">
      <c r="A344" s="4" t="s">
        <v>1034</v>
      </c>
      <c r="B344" s="4" t="s">
        <v>51</v>
      </c>
      <c r="C344" s="5" t="n">
        <v>14</v>
      </c>
      <c r="E344" s="5" t="n">
        <v>-6</v>
      </c>
      <c r="F344" s="4" t="s">
        <v>10</v>
      </c>
      <c r="G344" s="4" t="s">
        <v>1035</v>
      </c>
      <c r="H344" s="4" t="s">
        <v>1036</v>
      </c>
      <c r="I344" s="6" t="s">
        <v>13</v>
      </c>
    </row>
    <row r="345" spans="1:9">
      <c r="A345" s="4" t="s">
        <v>1037</v>
      </c>
      <c r="B345" s="4" t="s">
        <v>51</v>
      </c>
      <c r="C345" s="5" t="n">
        <v>10</v>
      </c>
      <c r="E345" s="5" t="n">
        <v>-6</v>
      </c>
      <c r="F345" s="4" t="s">
        <v>10</v>
      </c>
      <c r="G345" s="4" t="s">
        <v>1038</v>
      </c>
      <c r="H345" s="4" t="s">
        <v>1039</v>
      </c>
      <c r="I345" s="6" t="s">
        <v>13</v>
      </c>
    </row>
    <row r="346" spans="1:9">
      <c r="A346" s="4" t="s">
        <v>1040</v>
      </c>
      <c r="B346" s="4" t="s">
        <v>51</v>
      </c>
      <c r="C346" s="5" t="n">
        <v>14</v>
      </c>
      <c r="E346" s="5" t="n">
        <v>-5</v>
      </c>
      <c r="F346" s="4" t="s">
        <v>10</v>
      </c>
      <c r="G346" s="4" t="s">
        <v>1041</v>
      </c>
      <c r="H346" s="4" t="s">
        <v>1042</v>
      </c>
      <c r="I346" s="6" t="s">
        <v>13</v>
      </c>
    </row>
    <row r="347" spans="1:9">
      <c r="A347" s="4" t="s">
        <v>1043</v>
      </c>
      <c r="B347" s="4" t="s">
        <v>51</v>
      </c>
      <c r="C347" s="5" t="n">
        <v>14</v>
      </c>
      <c r="E347" s="5" t="n">
        <v>-1</v>
      </c>
      <c r="F347" s="4" t="s">
        <v>10</v>
      </c>
      <c r="G347" s="4" t="s">
        <v>1044</v>
      </c>
      <c r="H347" s="4" t="s">
        <v>1045</v>
      </c>
      <c r="I347" s="6" t="s">
        <v>13</v>
      </c>
    </row>
    <row r="348" spans="1:9">
      <c r="A348" s="4" t="s">
        <v>1046</v>
      </c>
      <c r="B348" s="4" t="s">
        <v>51</v>
      </c>
      <c r="C348" s="5" t="n">
        <v>10</v>
      </c>
      <c r="E348" s="5" t="n">
        <v>-5</v>
      </c>
      <c r="F348" s="4" t="s">
        <v>10</v>
      </c>
      <c r="G348" s="4" t="s">
        <v>1047</v>
      </c>
      <c r="H348" s="4" t="s">
        <v>1048</v>
      </c>
      <c r="I348" s="6" t="s">
        <v>13</v>
      </c>
    </row>
    <row r="349" spans="1:9">
      <c r="A349" s="4" t="s">
        <v>1049</v>
      </c>
      <c r="B349" s="4" t="s">
        <v>51</v>
      </c>
      <c r="C349" s="5" t="n">
        <v>14</v>
      </c>
      <c r="E349" s="5" t="n">
        <v>-3</v>
      </c>
      <c r="F349" s="4" t="s">
        <v>10</v>
      </c>
      <c r="G349" s="4" t="s">
        <v>1050</v>
      </c>
      <c r="H349" s="4" t="s">
        <v>1051</v>
      </c>
      <c r="I349" s="6" t="s">
        <v>13</v>
      </c>
    </row>
    <row r="350" spans="1:9">
      <c r="A350" s="4" t="s">
        <v>1052</v>
      </c>
      <c r="B350" s="4" t="s">
        <v>51</v>
      </c>
      <c r="C350" s="5" t="n">
        <v>12.99</v>
      </c>
      <c r="E350" s="5" t="n">
        <v>23</v>
      </c>
      <c r="F350" s="4" t="s">
        <v>10</v>
      </c>
      <c r="G350" s="4" t="s">
        <v>1053</v>
      </c>
      <c r="H350" s="4" t="s">
        <v>1054</v>
      </c>
      <c r="I350" s="6" t="s">
        <v>13</v>
      </c>
    </row>
    <row r="351" spans="1:9">
      <c r="A351" s="4" t="s">
        <v>1055</v>
      </c>
      <c r="B351" s="4" t="s">
        <v>51</v>
      </c>
      <c r="C351" s="5" t="n">
        <v>17.99</v>
      </c>
      <c r="D351" s="5" t="n">
        <v>8.56</v>
      </c>
      <c r="E351" s="5" t="n">
        <v>60</v>
      </c>
      <c r="F351" s="4" t="s">
        <v>10</v>
      </c>
      <c r="G351" s="4" t="s">
        <v>1056</v>
      </c>
      <c r="H351" s="4" t="s">
        <v>1057</v>
      </c>
      <c r="I351" s="6" t="s">
        <v>13</v>
      </c>
    </row>
    <row r="352" spans="1:9">
      <c r="A352" s="4" t="s">
        <v>1058</v>
      </c>
      <c r="B352" s="4" t="s">
        <v>51</v>
      </c>
      <c r="C352" s="5" t="n">
        <v>20.5</v>
      </c>
      <c r="D352" s="5" t="n">
        <v>13.03</v>
      </c>
      <c r="E352" s="5" t="n">
        <v>35</v>
      </c>
      <c r="F352" s="4" t="s">
        <v>10</v>
      </c>
      <c r="G352" s="4" t="s">
        <v>1059</v>
      </c>
      <c r="H352" s="4" t="s">
        <v>1060</v>
      </c>
      <c r="I352" s="6" t="s">
        <v>13</v>
      </c>
    </row>
    <row r="353" spans="1:9">
      <c r="A353" s="4" t="s">
        <v>1061</v>
      </c>
      <c r="B353" s="4" t="s">
        <v>51</v>
      </c>
      <c r="C353" s="5" t="n">
        <v>12.99</v>
      </c>
      <c r="E353" s="5" t="n">
        <v>-3</v>
      </c>
      <c r="F353" s="4" t="s">
        <v>10</v>
      </c>
      <c r="G353" s="4" t="s">
        <v>1062</v>
      </c>
      <c r="H353" s="4" t="s">
        <v>1063</v>
      </c>
      <c r="I353" s="6" t="s">
        <v>13</v>
      </c>
    </row>
    <row r="354" spans="1:9">
      <c r="A354" s="4" t="s">
        <v>1064</v>
      </c>
      <c r="B354" s="4" t="s">
        <v>51</v>
      </c>
      <c r="C354" s="5" t="n">
        <v>12.99</v>
      </c>
      <c r="D354" s="5" t="n">
        <v>7.96</v>
      </c>
      <c r="F354" s="4" t="s">
        <v>10</v>
      </c>
      <c r="G354" s="4" t="s">
        <v>1065</v>
      </c>
      <c r="H354" s="4" t="s">
        <v>1066</v>
      </c>
      <c r="I354" s="6" t="s">
        <v>13</v>
      </c>
    </row>
    <row r="355" spans="1:9">
      <c r="A355" s="4" t="s">
        <v>1067</v>
      </c>
      <c r="B355" s="4" t="s">
        <v>51</v>
      </c>
      <c r="C355" s="5" t="n">
        <v>12.99</v>
      </c>
      <c r="D355" s="5" t="n">
        <v>7.63</v>
      </c>
      <c r="E355" s="5" t="n">
        <v>30</v>
      </c>
      <c r="F355" s="4" t="s">
        <v>10</v>
      </c>
      <c r="G355" s="4" t="s">
        <v>1068</v>
      </c>
      <c r="H355" s="4" t="s">
        <v>1069</v>
      </c>
      <c r="I355" s="6" t="s">
        <v>13</v>
      </c>
    </row>
    <row r="356" spans="1:9">
      <c r="A356" s="4" t="s">
        <v>1070</v>
      </c>
      <c r="B356" s="4" t="s">
        <v>51</v>
      </c>
      <c r="C356" s="5" t="n">
        <v>17.99</v>
      </c>
      <c r="D356" s="5" t="n">
        <v>7.63</v>
      </c>
      <c r="E356" s="5" t="n">
        <v>-18</v>
      </c>
      <c r="F356" s="4" t="s">
        <v>10</v>
      </c>
      <c r="G356" s="4" t="s">
        <v>1071</v>
      </c>
      <c r="H356" s="4" t="s">
        <v>1072</v>
      </c>
      <c r="I356" s="6" t="s">
        <v>13</v>
      </c>
    </row>
    <row r="357" spans="1:9">
      <c r="A357" s="4" t="s">
        <v>1073</v>
      </c>
      <c r="B357" s="4" t="s">
        <v>824</v>
      </c>
      <c r="C357" s="5" t="n">
        <v>10.9</v>
      </c>
      <c r="D357" s="5" t="n">
        <v>1.01</v>
      </c>
      <c r="F357" s="4" t="s">
        <v>10</v>
      </c>
      <c r="G357" s="4" t="s">
        <v>1074</v>
      </c>
      <c r="H357" s="4" t="s">
        <v>1075</v>
      </c>
      <c r="I357" s="6" t="s">
        <v>13</v>
      </c>
    </row>
    <row r="358" spans="1:9">
      <c r="A358" s="4" t="s">
        <v>1076</v>
      </c>
      <c r="B358" s="4" t="s">
        <v>17</v>
      </c>
      <c r="C358" s="5" t="n">
        <v>29.9</v>
      </c>
      <c r="D358" s="5" t="n">
        <v>44.87</v>
      </c>
      <c r="F358" s="4" t="s">
        <v>10</v>
      </c>
      <c r="G358" s="4" t="s">
        <v>1077</v>
      </c>
      <c r="H358" s="4" t="s">
        <v>1078</v>
      </c>
      <c r="I358" s="6" t="s">
        <v>13</v>
      </c>
    </row>
    <row r="359" spans="1:9">
      <c r="A359" s="4" t="s">
        <v>1079</v>
      </c>
      <c r="B359" s="4" t="s">
        <v>17</v>
      </c>
      <c r="C359" s="5" t="n">
        <v>39.9</v>
      </c>
      <c r="D359" s="5" t="n">
        <v>4.39</v>
      </c>
      <c r="F359" s="4" t="s">
        <v>10</v>
      </c>
      <c r="G359" s="4" t="s">
        <v>1080</v>
      </c>
      <c r="H359" s="4" t="s">
        <v>1081</v>
      </c>
      <c r="I359" s="6" t="s">
        <v>13</v>
      </c>
    </row>
    <row r="360" spans="1:9">
      <c r="A360" s="4" t="s">
        <v>1082</v>
      </c>
      <c r="B360" s="4" t="s">
        <v>17</v>
      </c>
      <c r="C360" s="5" t="n">
        <v>36.9</v>
      </c>
      <c r="D360" s="5" t="n">
        <v>2.57</v>
      </c>
      <c r="F360" s="4" t="s">
        <v>10</v>
      </c>
      <c r="G360" s="4" t="s">
        <v>1083</v>
      </c>
      <c r="H360" s="4" t="s">
        <v>1084</v>
      </c>
      <c r="I360" s="6" t="s">
        <v>13</v>
      </c>
    </row>
    <row r="361" spans="1:9">
      <c r="A361" s="4" t="s">
        <v>1085</v>
      </c>
      <c r="B361" s="4" t="s">
        <v>524</v>
      </c>
      <c r="C361" s="5" t="n">
        <v>3.75</v>
      </c>
      <c r="E361" s="5" t="n">
        <v>-7</v>
      </c>
      <c r="F361" s="4" t="s">
        <v>10</v>
      </c>
      <c r="G361" s="4" t="s">
        <v>1086</v>
      </c>
      <c r="H361" s="4" t="s">
        <v>1087</v>
      </c>
      <c r="I361" s="6" t="s">
        <v>13</v>
      </c>
    </row>
    <row r="362" spans="1:9">
      <c r="A362" s="4" t="s">
        <v>1088</v>
      </c>
      <c r="B362" s="4" t="s">
        <v>524</v>
      </c>
      <c r="C362" s="5" t="n">
        <v>3.75</v>
      </c>
      <c r="E362" s="5" t="n">
        <v>-11</v>
      </c>
      <c r="F362" s="4" t="s">
        <v>10</v>
      </c>
      <c r="G362" s="4" t="s">
        <v>1089</v>
      </c>
      <c r="H362" s="4" t="s">
        <v>1090</v>
      </c>
      <c r="I362" s="6" t="s">
        <v>13</v>
      </c>
    </row>
    <row r="363" spans="1:9">
      <c r="A363" s="4" t="s">
        <v>1091</v>
      </c>
      <c r="B363" s="4" t="s">
        <v>51</v>
      </c>
      <c r="C363" s="5" t="n">
        <v>15.9</v>
      </c>
      <c r="E363" s="5" t="n">
        <v>3</v>
      </c>
      <c r="F363" s="4" t="s">
        <v>10</v>
      </c>
      <c r="G363" s="4" t="s">
        <v>1092</v>
      </c>
      <c r="H363" s="4" t="s">
        <v>1093</v>
      </c>
      <c r="I363" s="6" t="s">
        <v>13</v>
      </c>
    </row>
    <row r="364" spans="1:9">
      <c r="A364" s="4" t="s">
        <v>1094</v>
      </c>
      <c r="B364" s="4" t="s">
        <v>14</v>
      </c>
      <c r="C364" s="5" t="n">
        <v>10.9</v>
      </c>
      <c r="D364" s="5" t="n">
        <v>1.84</v>
      </c>
      <c r="F364" s="4" t="s">
        <v>10</v>
      </c>
      <c r="G364" s="4" t="s">
        <v>1095</v>
      </c>
      <c r="H364" s="4" t="s">
        <v>1096</v>
      </c>
      <c r="I364" s="6" t="s">
        <v>13</v>
      </c>
    </row>
    <row r="365" spans="1:9">
      <c r="A365" s="4" t="s">
        <v>1097</v>
      </c>
      <c r="B365" s="4" t="s">
        <v>14</v>
      </c>
      <c r="C365" s="5" t="n">
        <v>10.9</v>
      </c>
      <c r="D365" s="5" t="n">
        <v>2.8</v>
      </c>
      <c r="F365" s="4" t="s">
        <v>10</v>
      </c>
      <c r="G365" s="4" t="s">
        <v>1098</v>
      </c>
      <c r="H365" s="4" t="s">
        <v>1099</v>
      </c>
      <c r="I365" s="6" t="s">
        <v>13</v>
      </c>
    </row>
    <row r="366" spans="1:9">
      <c r="A366" s="4" t="s">
        <v>1100</v>
      </c>
      <c r="B366" s="4" t="s">
        <v>14</v>
      </c>
      <c r="C366" s="5" t="n">
        <v>9.9</v>
      </c>
      <c r="D366" s="5" t="n">
        <v>0.46</v>
      </c>
      <c r="F366" s="4" t="s">
        <v>10</v>
      </c>
      <c r="G366" s="4" t="s">
        <v>1101</v>
      </c>
      <c r="H366" s="4" t="s">
        <v>1102</v>
      </c>
      <c r="I366" s="6" t="s">
        <v>13</v>
      </c>
    </row>
    <row r="367" spans="1:9">
      <c r="A367" s="4" t="s">
        <v>1103</v>
      </c>
      <c r="B367" s="4" t="s">
        <v>17</v>
      </c>
      <c r="C367" s="5" t="n">
        <v>38.9</v>
      </c>
      <c r="D367" s="5" t="n">
        <v>9.08</v>
      </c>
      <c r="F367" s="4" t="s">
        <v>10</v>
      </c>
      <c r="G367" s="4" t="s">
        <v>1104</v>
      </c>
      <c r="H367" s="4" t="s">
        <v>1105</v>
      </c>
      <c r="I367" s="6" t="s">
        <v>13</v>
      </c>
    </row>
    <row r="368" spans="1:9">
      <c r="A368" s="4" t="s">
        <v>1106</v>
      </c>
      <c r="B368" s="4" t="s">
        <v>262</v>
      </c>
      <c r="C368" s="5" t="n">
        <v>239.28</v>
      </c>
      <c r="D368" s="5" t="n">
        <v>119.64</v>
      </c>
      <c r="E368" s="5" t="n">
        <v>1</v>
      </c>
      <c r="F368" s="4" t="s">
        <v>10</v>
      </c>
      <c r="G368" s="4" t="s">
        <v>1107</v>
      </c>
      <c r="H368" s="4" t="s">
        <v>1108</v>
      </c>
      <c r="I368" s="6" t="s">
        <v>13</v>
      </c>
    </row>
    <row r="369" spans="1:9">
      <c r="A369" s="4" t="s">
        <v>1109</v>
      </c>
      <c r="B369" s="4" t="s">
        <v>77</v>
      </c>
      <c r="C369" s="5" t="n">
        <v>5</v>
      </c>
      <c r="D369" s="5" t="n">
        <v>2.85</v>
      </c>
      <c r="E369" s="5" t="n">
        <v>10</v>
      </c>
      <c r="F369" s="4" t="s">
        <v>10</v>
      </c>
      <c r="G369" s="4" t="s">
        <v>1110</v>
      </c>
      <c r="H369" s="4" t="s">
        <v>1111</v>
      </c>
      <c r="I369" s="6" t="s">
        <v>13</v>
      </c>
    </row>
    <row r="370" spans="1:9">
      <c r="A370" s="4" t="s">
        <v>1112</v>
      </c>
      <c r="B370" s="4" t="s">
        <v>77</v>
      </c>
      <c r="C370" s="5" t="n">
        <v>5</v>
      </c>
      <c r="D370" s="5" t="n">
        <v>2.85</v>
      </c>
      <c r="E370" s="5" t="n">
        <v>10</v>
      </c>
      <c r="F370" s="4" t="s">
        <v>10</v>
      </c>
      <c r="G370" s="4" t="s">
        <v>1113</v>
      </c>
      <c r="H370" s="4" t="s">
        <v>1114</v>
      </c>
      <c r="I370" s="6" t="s">
        <v>13</v>
      </c>
    </row>
    <row r="371" spans="1:9">
      <c r="A371" s="4" t="s">
        <v>1115</v>
      </c>
      <c r="B371" s="4" t="s">
        <v>77</v>
      </c>
      <c r="C371" s="5" t="n">
        <v>5</v>
      </c>
      <c r="D371" s="5" t="n">
        <v>2.38</v>
      </c>
      <c r="E371" s="5" t="n">
        <v>12</v>
      </c>
      <c r="F371" s="4" t="s">
        <v>10</v>
      </c>
      <c r="G371" s="4" t="s">
        <v>1116</v>
      </c>
      <c r="H371" s="4" t="s">
        <v>1117</v>
      </c>
      <c r="I371" s="6" t="s">
        <v>13</v>
      </c>
    </row>
    <row r="372" spans="1:9">
      <c r="A372" s="4" t="s">
        <v>1118</v>
      </c>
      <c r="B372" s="4" t="s">
        <v>77</v>
      </c>
      <c r="C372" s="5" t="n">
        <v>5</v>
      </c>
      <c r="F372" s="4" t="s">
        <v>10</v>
      </c>
      <c r="G372" s="4" t="s">
        <v>1119</v>
      </c>
      <c r="H372" s="4" t="s">
        <v>1120</v>
      </c>
      <c r="I372" s="6" t="s">
        <v>13</v>
      </c>
    </row>
    <row r="373" spans="1:9">
      <c r="A373" s="4" t="s">
        <v>1121</v>
      </c>
      <c r="B373" s="4" t="s">
        <v>77</v>
      </c>
      <c r="C373" s="5" t="n">
        <v>2.5</v>
      </c>
      <c r="F373" s="4" t="s">
        <v>10</v>
      </c>
      <c r="G373" s="4" t="s">
        <v>1122</v>
      </c>
      <c r="H373" s="4" t="s">
        <v>1123</v>
      </c>
      <c r="I373" s="6" t="s">
        <v>13</v>
      </c>
    </row>
    <row r="374" spans="1:9">
      <c r="A374" s="4" t="s">
        <v>1124</v>
      </c>
      <c r="B374" s="4" t="s">
        <v>824</v>
      </c>
      <c r="C374" s="5" t="n">
        <v>12.9</v>
      </c>
      <c r="D374" s="5" t="n">
        <v>4.92</v>
      </c>
      <c r="F374" s="4" t="s">
        <v>10</v>
      </c>
      <c r="G374" s="4" t="s">
        <v>1125</v>
      </c>
      <c r="H374" s="4" t="s">
        <v>1126</v>
      </c>
      <c r="I374" s="6" t="s">
        <v>13</v>
      </c>
    </row>
    <row r="375" spans="1:9">
      <c r="A375" s="4" t="s">
        <v>1127</v>
      </c>
      <c r="B375" s="4" t="s">
        <v>183</v>
      </c>
      <c r="C375" s="5" t="n">
        <v>30</v>
      </c>
      <c r="E375" s="5" t="n">
        <v>12</v>
      </c>
      <c r="F375" s="4" t="s">
        <v>10</v>
      </c>
      <c r="G375" s="4" t="s">
        <v>1128</v>
      </c>
      <c r="H375" s="4" t="s">
        <v>1129</v>
      </c>
      <c r="I375" s="6" t="s">
        <v>13</v>
      </c>
    </row>
    <row r="376" spans="1:9">
      <c r="A376" s="4" t="s">
        <v>1130</v>
      </c>
      <c r="B376" s="4" t="s">
        <v>183</v>
      </c>
      <c r="C376" s="5" t="n">
        <v>55</v>
      </c>
      <c r="F376" s="4" t="s">
        <v>10</v>
      </c>
      <c r="G376" s="4" t="s">
        <v>1131</v>
      </c>
      <c r="H376" s="4" t="s">
        <v>1132</v>
      </c>
      <c r="I376" s="6" t="s">
        <v>13</v>
      </c>
    </row>
    <row r="377" spans="1:9">
      <c r="A377" s="4" t="s">
        <v>1133</v>
      </c>
      <c r="B377" s="4" t="s">
        <v>77</v>
      </c>
      <c r="C377" s="5" t="n">
        <v>4.5</v>
      </c>
      <c r="D377" s="5" t="n">
        <v>2.5</v>
      </c>
      <c r="E377" s="5" t="n">
        <v>10</v>
      </c>
      <c r="F377" s="4" t="s">
        <v>10</v>
      </c>
      <c r="G377" s="4" t="s">
        <v>1134</v>
      </c>
      <c r="H377" s="4" t="s">
        <v>1135</v>
      </c>
      <c r="I377" s="6" t="s">
        <v>13</v>
      </c>
    </row>
    <row r="378" spans="1:9">
      <c r="A378" s="4" t="s">
        <v>1136</v>
      </c>
      <c r="B378" s="4" t="s">
        <v>77</v>
      </c>
      <c r="C378" s="5" t="n">
        <v>4</v>
      </c>
      <c r="D378" s="5" t="n">
        <v>2.27</v>
      </c>
      <c r="E378" s="5" t="n">
        <v>12</v>
      </c>
      <c r="F378" s="4" t="s">
        <v>10</v>
      </c>
      <c r="G378" s="4" t="s">
        <v>1137</v>
      </c>
      <c r="H378" s="4" t="s">
        <v>1138</v>
      </c>
      <c r="I378" s="6" t="s">
        <v>13</v>
      </c>
    </row>
    <row r="379" spans="1:9">
      <c r="A379" s="4" t="s">
        <v>1139</v>
      </c>
      <c r="B379" s="4">
        <f>="(3) MT  -  MATERIAIS|(3.1) MT | EMBALAGENS "</f>
      </c>
      <c r="C379" s="5" t="n">
        <v>0.88</v>
      </c>
      <c r="D379" s="5" t="n">
        <v>0.88</v>
      </c>
      <c r="E379" s="5" t="n">
        <v>480</v>
      </c>
      <c r="F379" s="4" t="s">
        <v>10</v>
      </c>
      <c r="G379" s="4" t="s">
        <v>1140</v>
      </c>
      <c r="H379" s="4" t="s">
        <v>1141</v>
      </c>
      <c r="I379" s="6" t="s">
        <v>13</v>
      </c>
    </row>
    <row r="380" spans="1:9">
      <c r="A380" s="4" t="s">
        <v>1142</v>
      </c>
      <c r="B380" s="4" t="s">
        <v>183</v>
      </c>
      <c r="C380" s="5" t="n">
        <v>3</v>
      </c>
      <c r="F380" s="4" t="s">
        <v>10</v>
      </c>
      <c r="G380" s="4" t="s">
        <v>1143</v>
      </c>
      <c r="H380" s="4" t="s">
        <v>1144</v>
      </c>
      <c r="I380" s="6" t="s">
        <v>13</v>
      </c>
    </row>
    <row r="381" spans="1:9">
      <c r="A381" s="4" t="s">
        <v>1145</v>
      </c>
      <c r="B381" s="4" t="s">
        <v>51</v>
      </c>
      <c r="C381" s="5" t="n">
        <v>13</v>
      </c>
      <c r="E381" s="5" t="n">
        <v>-1</v>
      </c>
      <c r="F381" s="4" t="s">
        <v>10</v>
      </c>
      <c r="G381" s="4" t="s">
        <v>1146</v>
      </c>
      <c r="H381" s="4" t="s">
        <v>1147</v>
      </c>
      <c r="I381" s="6" t="s">
        <v>13</v>
      </c>
    </row>
    <row r="382" spans="1:9">
      <c r="A382" s="4">
        <f>="H2O LIMAO 500ML "</f>
      </c>
      <c r="B382" s="4" t="s">
        <v>51</v>
      </c>
      <c r="C382" s="5" t="n">
        <v>7.9</v>
      </c>
      <c r="D382" s="5" t="n">
        <v>3.89</v>
      </c>
      <c r="E382" s="5" t="n">
        <v>3</v>
      </c>
      <c r="F382" s="4" t="s">
        <v>10</v>
      </c>
      <c r="G382" s="4" t="s">
        <v>1148</v>
      </c>
      <c r="H382" s="4" t="s">
        <v>1149</v>
      </c>
      <c r="I382" s="6" t="s">
        <v>13</v>
      </c>
    </row>
    <row r="383" spans="1:9">
      <c r="A383" s="4" t="s">
        <v>1150</v>
      </c>
      <c r="B383" s="4" t="s">
        <v>51</v>
      </c>
      <c r="C383" s="5" t="n">
        <v>7.9</v>
      </c>
      <c r="D383" s="5" t="n">
        <v>3.93</v>
      </c>
      <c r="E383" s="5" t="n">
        <v>-2</v>
      </c>
      <c r="F383" s="4" t="s">
        <v>10</v>
      </c>
      <c r="G383" s="4" t="s">
        <v>1151</v>
      </c>
      <c r="H383" s="4" t="s">
        <v>1152</v>
      </c>
      <c r="I383" s="6" t="s">
        <v>13</v>
      </c>
    </row>
    <row r="384" spans="1:9">
      <c r="A384" s="4" t="s">
        <v>1153</v>
      </c>
      <c r="B384" s="4" t="s">
        <v>51</v>
      </c>
      <c r="C384" s="5" t="n">
        <v>13</v>
      </c>
      <c r="D384" s="5" t="n">
        <v>6.55</v>
      </c>
      <c r="E384" s="5" t="n">
        <v>1</v>
      </c>
      <c r="F384" s="4" t="s">
        <v>10</v>
      </c>
      <c r="G384" s="4" t="s">
        <v>1154</v>
      </c>
      <c r="H384" s="4" t="s">
        <v>1155</v>
      </c>
      <c r="I384" s="6" t="s">
        <v>13</v>
      </c>
    </row>
    <row r="385" spans="1:9">
      <c r="A385" s="4" t="s">
        <v>1156</v>
      </c>
      <c r="B385" s="4" t="s">
        <v>77</v>
      </c>
      <c r="C385" s="5" t="n">
        <v>3</v>
      </c>
      <c r="D385" s="5" t="n">
        <v>1.25</v>
      </c>
      <c r="E385" s="5" t="n">
        <v>-2</v>
      </c>
      <c r="F385" s="4" t="s">
        <v>10</v>
      </c>
      <c r="G385" s="4" t="s">
        <v>1157</v>
      </c>
      <c r="H385" s="4" t="s">
        <v>1158</v>
      </c>
      <c r="I385" s="6" t="s">
        <v>13</v>
      </c>
    </row>
    <row r="386" spans="1:9">
      <c r="A386" s="4" t="s">
        <v>1159</v>
      </c>
      <c r="B386" s="4" t="s">
        <v>77</v>
      </c>
      <c r="C386" s="5" t="n">
        <v>3</v>
      </c>
      <c r="D386" s="5" t="n">
        <v>1.25</v>
      </c>
      <c r="F386" s="4" t="s">
        <v>10</v>
      </c>
      <c r="G386" s="4" t="s">
        <v>1160</v>
      </c>
      <c r="H386" s="4" t="s">
        <v>1161</v>
      </c>
      <c r="I386" s="6" t="s">
        <v>13</v>
      </c>
    </row>
    <row r="387" spans="1:9">
      <c r="A387" s="4" t="s">
        <v>1162</v>
      </c>
      <c r="B387" s="4" t="s">
        <v>77</v>
      </c>
      <c r="C387" s="5" t="n">
        <v>3</v>
      </c>
      <c r="E387" s="5" t="n">
        <v>-21</v>
      </c>
      <c r="F387" s="4" t="s">
        <v>10</v>
      </c>
      <c r="G387" s="4" t="s">
        <v>1163</v>
      </c>
      <c r="H387" s="4" t="s">
        <v>1164</v>
      </c>
      <c r="I387" s="6" t="s">
        <v>13</v>
      </c>
    </row>
    <row r="388" spans="1:9">
      <c r="A388" s="4" t="s">
        <v>1165</v>
      </c>
      <c r="B388" s="4" t="s">
        <v>77</v>
      </c>
      <c r="C388" s="5" t="n">
        <v>3</v>
      </c>
      <c r="D388" s="5" t="n">
        <v>1.25</v>
      </c>
      <c r="E388" s="5" t="n">
        <v>9</v>
      </c>
      <c r="F388" s="4" t="s">
        <v>10</v>
      </c>
      <c r="G388" s="4" t="s">
        <v>1166</v>
      </c>
      <c r="H388" s="4" t="s">
        <v>1167</v>
      </c>
      <c r="I388" s="6" t="s">
        <v>13</v>
      </c>
    </row>
    <row r="389" spans="1:9">
      <c r="A389" s="4" t="s">
        <v>1168</v>
      </c>
      <c r="B389" s="4" t="s">
        <v>77</v>
      </c>
      <c r="C389" s="5" t="n">
        <v>3</v>
      </c>
      <c r="E389" s="5" t="n">
        <v>-1</v>
      </c>
      <c r="F389" s="4" t="s">
        <v>10</v>
      </c>
      <c r="G389" s="4" t="s">
        <v>1169</v>
      </c>
      <c r="H389" s="4" t="s">
        <v>1170</v>
      </c>
      <c r="I389" s="6" t="s">
        <v>13</v>
      </c>
    </row>
    <row r="390" spans="1:9">
      <c r="A390" s="4" t="s">
        <v>1171</v>
      </c>
      <c r="B390" s="4" t="s">
        <v>77</v>
      </c>
      <c r="C390" s="5" t="n">
        <v>3</v>
      </c>
      <c r="D390" s="5" t="n">
        <v>1.25</v>
      </c>
      <c r="E390" s="5" t="n">
        <v>4</v>
      </c>
      <c r="F390" s="4" t="s">
        <v>10</v>
      </c>
      <c r="G390" s="4" t="s">
        <v>1172</v>
      </c>
      <c r="H390" s="4" t="s">
        <v>1173</v>
      </c>
      <c r="I390" s="6" t="s">
        <v>13</v>
      </c>
    </row>
    <row r="391" spans="1:9">
      <c r="A391" s="4" t="s">
        <v>1174</v>
      </c>
      <c r="B391" s="4" t="s">
        <v>77</v>
      </c>
      <c r="C391" s="5" t="n">
        <v>3</v>
      </c>
      <c r="D391" s="5" t="n">
        <v>1.25</v>
      </c>
      <c r="E391" s="5" t="n">
        <v>-13</v>
      </c>
      <c r="F391" s="4" t="s">
        <v>10</v>
      </c>
      <c r="G391" s="4" t="s">
        <v>1175</v>
      </c>
      <c r="H391" s="4" t="s">
        <v>1176</v>
      </c>
      <c r="I391" s="6" t="s">
        <v>13</v>
      </c>
    </row>
    <row r="392" spans="1:9">
      <c r="A392" s="4" t="s">
        <v>1177</v>
      </c>
      <c r="B392" s="4" t="s">
        <v>77</v>
      </c>
      <c r="C392" s="5" t="n">
        <v>3</v>
      </c>
      <c r="E392" s="5" t="n">
        <v>-18</v>
      </c>
      <c r="F392" s="4" t="s">
        <v>10</v>
      </c>
      <c r="G392" s="4" t="s">
        <v>1178</v>
      </c>
      <c r="H392" s="4" t="s">
        <v>1179</v>
      </c>
      <c r="I392" s="6" t="s">
        <v>13</v>
      </c>
    </row>
    <row r="393" spans="1:9">
      <c r="A393" s="4" t="s">
        <v>1180</v>
      </c>
      <c r="B393" s="4" t="s">
        <v>77</v>
      </c>
      <c r="C393" s="5" t="n">
        <v>3</v>
      </c>
      <c r="D393" s="5" t="n">
        <v>1.25</v>
      </c>
      <c r="E393" s="5" t="n">
        <v>21</v>
      </c>
      <c r="F393" s="4" t="s">
        <v>10</v>
      </c>
      <c r="G393" s="4" t="s">
        <v>1181</v>
      </c>
      <c r="H393" s="4" t="s">
        <v>1182</v>
      </c>
      <c r="I393" s="6" t="s">
        <v>13</v>
      </c>
    </row>
    <row r="394" spans="1:9">
      <c r="A394" s="4" t="s">
        <v>1183</v>
      </c>
      <c r="B394" s="4" t="s">
        <v>395</v>
      </c>
      <c r="C394" s="5" t="n">
        <v>12.9</v>
      </c>
      <c r="E394" s="5" t="n">
        <v>-2</v>
      </c>
      <c r="F394" s="4" t="s">
        <v>10</v>
      </c>
      <c r="G394" s="4" t="s">
        <v>1184</v>
      </c>
      <c r="H394" s="4" t="s">
        <v>1185</v>
      </c>
      <c r="I394" s="6" t="s">
        <v>13</v>
      </c>
    </row>
    <row r="395" spans="1:9">
      <c r="A395" s="4" t="s">
        <v>1186</v>
      </c>
      <c r="B395" s="4" t="s">
        <v>395</v>
      </c>
      <c r="C395" s="5" t="n">
        <v>12.9</v>
      </c>
      <c r="E395" s="5" t="n">
        <v>-8</v>
      </c>
      <c r="F395" s="4" t="s">
        <v>10</v>
      </c>
      <c r="G395" s="4" t="s">
        <v>1187</v>
      </c>
      <c r="H395" s="4" t="s">
        <v>1188</v>
      </c>
      <c r="I395" s="6" t="s">
        <v>13</v>
      </c>
    </row>
    <row r="396" spans="1:9">
      <c r="A396" s="4" t="s">
        <v>1189</v>
      </c>
      <c r="B396" s="4" t="s">
        <v>395</v>
      </c>
      <c r="C396" s="5" t="n">
        <v>12.9</v>
      </c>
      <c r="E396" s="5" t="n">
        <v>-11</v>
      </c>
      <c r="F396" s="4" t="s">
        <v>10</v>
      </c>
      <c r="G396" s="4" t="s">
        <v>1190</v>
      </c>
      <c r="H396" s="4" t="s">
        <v>1191</v>
      </c>
      <c r="I396" s="6" t="s">
        <v>13</v>
      </c>
    </row>
    <row r="397" spans="1:9">
      <c r="A397" s="4" t="s">
        <v>1192</v>
      </c>
      <c r="B397" s="4" t="s">
        <v>395</v>
      </c>
      <c r="C397" s="5" t="n">
        <v>11.99</v>
      </c>
      <c r="D397" s="5" t="n">
        <v>5.9</v>
      </c>
      <c r="E397" s="5" t="n">
        <v>31</v>
      </c>
      <c r="F397" s="4" t="s">
        <v>10</v>
      </c>
      <c r="G397" s="4" t="s">
        <v>1193</v>
      </c>
      <c r="H397" s="4" t="s">
        <v>1194</v>
      </c>
      <c r="I397" s="6" t="s">
        <v>13</v>
      </c>
    </row>
    <row r="398" spans="1:9">
      <c r="A398" s="4" t="s">
        <v>1195</v>
      </c>
      <c r="B398" s="4" t="s">
        <v>51</v>
      </c>
      <c r="C398" s="5" t="n">
        <v>13.5</v>
      </c>
      <c r="E398" s="5" t="n">
        <v>-5</v>
      </c>
      <c r="F398" s="4" t="s">
        <v>10</v>
      </c>
      <c r="G398" s="4" t="s">
        <v>1196</v>
      </c>
      <c r="H398" s="4" t="s">
        <v>1197</v>
      </c>
      <c r="I398" s="6" t="s">
        <v>13</v>
      </c>
    </row>
    <row r="399" spans="1:9">
      <c r="A399" s="4" t="s">
        <v>1198</v>
      </c>
      <c r="B399" s="4" t="s">
        <v>51</v>
      </c>
      <c r="C399" s="5" t="n">
        <v>13.5</v>
      </c>
      <c r="E399" s="5" t="n">
        <v>-2</v>
      </c>
      <c r="F399" s="4" t="s">
        <v>10</v>
      </c>
      <c r="G399" s="4" t="s">
        <v>1199</v>
      </c>
      <c r="H399" s="4" t="s">
        <v>1200</v>
      </c>
      <c r="I399" s="6" t="s">
        <v>13</v>
      </c>
    </row>
    <row r="400" spans="1:9">
      <c r="A400" s="4" t="s">
        <v>1201</v>
      </c>
      <c r="B400" s="4" t="s">
        <v>51</v>
      </c>
      <c r="C400" s="5" t="n">
        <v>6.9</v>
      </c>
      <c r="E400" s="5" t="n">
        <v>-11</v>
      </c>
      <c r="F400" s="4" t="s">
        <v>10</v>
      </c>
      <c r="G400" s="4" t="s">
        <v>1202</v>
      </c>
      <c r="H400" s="4" t="s">
        <v>1203</v>
      </c>
      <c r="I400" s="6" t="s">
        <v>13</v>
      </c>
    </row>
    <row r="401" spans="1:9">
      <c r="A401" s="4" t="s">
        <v>1204</v>
      </c>
      <c r="B401" s="4" t="s">
        <v>51</v>
      </c>
      <c r="C401" s="5" t="n">
        <v>6.9</v>
      </c>
      <c r="E401" s="5" t="n">
        <v>-22</v>
      </c>
      <c r="F401" s="4" t="s">
        <v>10</v>
      </c>
      <c r="G401" s="4" t="s">
        <v>1205</v>
      </c>
      <c r="H401" s="4" t="s">
        <v>1206</v>
      </c>
      <c r="I401" s="6" t="s">
        <v>13</v>
      </c>
    </row>
    <row r="402" spans="1:9">
      <c r="A402" s="4" t="s">
        <v>1207</v>
      </c>
      <c r="B402" s="4" t="s">
        <v>51</v>
      </c>
      <c r="C402" s="5" t="n">
        <v>9</v>
      </c>
      <c r="E402" s="5" t="n">
        <v>-3</v>
      </c>
      <c r="F402" s="4" t="s">
        <v>10</v>
      </c>
      <c r="G402" s="4" t="s">
        <v>1208</v>
      </c>
      <c r="H402" s="4" t="s">
        <v>1209</v>
      </c>
      <c r="I402" s="6" t="s">
        <v>13</v>
      </c>
    </row>
    <row r="403" spans="1:9">
      <c r="A403" s="4" t="s">
        <v>1210</v>
      </c>
      <c r="B403" s="4" t="s">
        <v>51</v>
      </c>
      <c r="C403" s="5" t="n">
        <v>9</v>
      </c>
      <c r="E403" s="5" t="n">
        <v>-15</v>
      </c>
      <c r="F403" s="4" t="s">
        <v>10</v>
      </c>
      <c r="G403" s="4" t="s">
        <v>1211</v>
      </c>
      <c r="H403" s="4" t="s">
        <v>1212</v>
      </c>
      <c r="I403" s="6" t="s">
        <v>13</v>
      </c>
    </row>
    <row r="404" spans="1:9">
      <c r="A404" s="4" t="s">
        <v>1213</v>
      </c>
      <c r="B404" s="4" t="s">
        <v>51</v>
      </c>
      <c r="C404" s="5" t="n">
        <v>9</v>
      </c>
      <c r="D404" s="5" t="n">
        <v>4.91</v>
      </c>
      <c r="E404" s="5" t="n">
        <v>5</v>
      </c>
      <c r="F404" s="4" t="s">
        <v>10</v>
      </c>
      <c r="G404" s="4" t="s">
        <v>1214</v>
      </c>
      <c r="H404" s="4" t="s">
        <v>1215</v>
      </c>
      <c r="I404" s="6" t="s">
        <v>13</v>
      </c>
    </row>
    <row r="405" spans="1:9">
      <c r="A405" s="4" t="s">
        <v>1216</v>
      </c>
      <c r="B405" s="4" t="s">
        <v>51</v>
      </c>
      <c r="C405" s="5" t="n">
        <v>9</v>
      </c>
      <c r="E405" s="5" t="n">
        <v>-5</v>
      </c>
      <c r="F405" s="4" t="s">
        <v>10</v>
      </c>
      <c r="G405" s="4" t="s">
        <v>1217</v>
      </c>
      <c r="H405" s="4" t="s">
        <v>1218</v>
      </c>
      <c r="I405" s="6" t="s">
        <v>13</v>
      </c>
    </row>
    <row r="406" spans="1:9">
      <c r="A406" s="4" t="s">
        <v>1219</v>
      </c>
      <c r="B406" s="4" t="s">
        <v>51</v>
      </c>
      <c r="C406" s="5" t="n">
        <v>6</v>
      </c>
      <c r="D406" s="5" t="n">
        <v>4.25</v>
      </c>
      <c r="E406" s="5" t="n">
        <v>-1</v>
      </c>
      <c r="F406" s="4" t="s">
        <v>10</v>
      </c>
      <c r="G406" s="4" t="s">
        <v>1220</v>
      </c>
      <c r="H406" s="4" t="s">
        <v>1221</v>
      </c>
      <c r="I406" s="6" t="s">
        <v>13</v>
      </c>
    </row>
    <row r="407" spans="1:9">
      <c r="A407" s="4" t="s">
        <v>1222</v>
      </c>
      <c r="B407" s="4" t="s">
        <v>51</v>
      </c>
      <c r="C407" s="5" t="n">
        <v>6</v>
      </c>
      <c r="D407" s="5" t="n">
        <v>4.25</v>
      </c>
      <c r="E407" s="5" t="n">
        <v>-1</v>
      </c>
      <c r="F407" s="4" t="s">
        <v>10</v>
      </c>
      <c r="G407" s="4" t="s">
        <v>1223</v>
      </c>
      <c r="H407" s="4" t="s">
        <v>1224</v>
      </c>
      <c r="I407" s="6" t="s">
        <v>13</v>
      </c>
    </row>
    <row r="408" spans="1:9">
      <c r="A408" s="4" t="s">
        <v>1225</v>
      </c>
      <c r="B408" s="4" t="s">
        <v>51</v>
      </c>
      <c r="C408" s="5" t="n">
        <v>6</v>
      </c>
      <c r="D408" s="5" t="n">
        <v>4.25</v>
      </c>
      <c r="E408" s="5" t="n">
        <v>-2</v>
      </c>
      <c r="F408" s="4" t="s">
        <v>10</v>
      </c>
      <c r="G408" s="4" t="s">
        <v>1226</v>
      </c>
      <c r="H408" s="4" t="s">
        <v>1227</v>
      </c>
      <c r="I408" s="6" t="s">
        <v>13</v>
      </c>
    </row>
    <row r="409" spans="1:9">
      <c r="A409" s="4" t="s">
        <v>1228</v>
      </c>
      <c r="B409" s="4" t="s">
        <v>51</v>
      </c>
      <c r="C409" s="5" t="n">
        <v>6</v>
      </c>
      <c r="D409" s="5" t="n">
        <v>4.25</v>
      </c>
      <c r="E409" s="5" t="n">
        <v>-1</v>
      </c>
      <c r="F409" s="4" t="s">
        <v>10</v>
      </c>
      <c r="G409" s="4" t="s">
        <v>1229</v>
      </c>
      <c r="H409" s="4" t="s">
        <v>1230</v>
      </c>
      <c r="I409" s="6" t="s">
        <v>13</v>
      </c>
    </row>
    <row r="410" spans="1:9">
      <c r="A410" s="4" t="s">
        <v>1231</v>
      </c>
      <c r="B410" s="4" t="s">
        <v>820</v>
      </c>
      <c r="C410" s="5" t="n">
        <v>9</v>
      </c>
      <c r="E410" s="5" t="n">
        <v>-13</v>
      </c>
      <c r="F410" s="4" t="s">
        <v>10</v>
      </c>
      <c r="G410" s="4" t="s">
        <v>1232</v>
      </c>
      <c r="H410" s="4" t="s">
        <v>1233</v>
      </c>
      <c r="I410" s="6" t="s">
        <v>13</v>
      </c>
    </row>
    <row r="411" spans="1:9">
      <c r="A411" s="4" t="s">
        <v>1234</v>
      </c>
      <c r="B411" s="4" t="s">
        <v>820</v>
      </c>
      <c r="C411" s="5" t="n">
        <v>7</v>
      </c>
      <c r="E411" s="5" t="n">
        <v>-21</v>
      </c>
      <c r="F411" s="4" t="s">
        <v>10</v>
      </c>
      <c r="G411" s="4" t="s">
        <v>1235</v>
      </c>
      <c r="H411" s="4" t="s">
        <v>1236</v>
      </c>
      <c r="I411" s="6" t="s">
        <v>13</v>
      </c>
    </row>
    <row r="412" spans="1:9">
      <c r="A412" s="4" t="s">
        <v>1237</v>
      </c>
      <c r="B412" s="4" t="s">
        <v>51</v>
      </c>
      <c r="C412" s="5" t="n">
        <v>9.99</v>
      </c>
      <c r="E412" s="5" t="n">
        <v>-5</v>
      </c>
      <c r="F412" s="4" t="s">
        <v>10</v>
      </c>
      <c r="G412" s="4" t="s">
        <v>1238</v>
      </c>
      <c r="H412" s="4" t="s">
        <v>1239</v>
      </c>
      <c r="I412" s="6" t="s">
        <v>13</v>
      </c>
    </row>
    <row r="413" spans="1:9">
      <c r="A413" s="4" t="s">
        <v>1240</v>
      </c>
      <c r="B413" s="4" t="s">
        <v>51</v>
      </c>
      <c r="C413" s="5" t="n">
        <v>10</v>
      </c>
      <c r="E413" s="5" t="n">
        <v>-8</v>
      </c>
      <c r="F413" s="4" t="s">
        <v>10</v>
      </c>
      <c r="G413" s="4" t="s">
        <v>1241</v>
      </c>
      <c r="H413" s="4" t="s">
        <v>1242</v>
      </c>
      <c r="I413" s="6" t="s">
        <v>13</v>
      </c>
    </row>
    <row r="414" spans="1:9">
      <c r="A414" s="4" t="s">
        <v>1243</v>
      </c>
      <c r="B414" s="4" t="s">
        <v>51</v>
      </c>
      <c r="C414" s="5" t="n">
        <v>10</v>
      </c>
      <c r="E414" s="5" t="n">
        <v>-2</v>
      </c>
      <c r="F414" s="4" t="s">
        <v>10</v>
      </c>
      <c r="G414" s="4" t="s">
        <v>1244</v>
      </c>
      <c r="H414" s="4" t="s">
        <v>1245</v>
      </c>
      <c r="I414" s="6" t="s">
        <v>13</v>
      </c>
    </row>
    <row r="415" spans="1:9">
      <c r="A415" s="4" t="s">
        <v>1246</v>
      </c>
      <c r="B415" s="4" t="s">
        <v>51</v>
      </c>
      <c r="C415" s="5" t="n">
        <v>10</v>
      </c>
      <c r="E415" s="5" t="n">
        <v>-3</v>
      </c>
      <c r="F415" s="4" t="s">
        <v>10</v>
      </c>
      <c r="G415" s="4" t="s">
        <v>1247</v>
      </c>
      <c r="H415" s="4" t="s">
        <v>1248</v>
      </c>
      <c r="I415" s="6" t="s">
        <v>13</v>
      </c>
    </row>
    <row r="416" spans="1:9">
      <c r="A416" s="4" t="s">
        <v>1249</v>
      </c>
      <c r="B416" s="4" t="s">
        <v>51</v>
      </c>
      <c r="C416" s="5" t="n">
        <v>10</v>
      </c>
      <c r="F416" s="4" t="s">
        <v>10</v>
      </c>
      <c r="G416" s="4" t="s">
        <v>1250</v>
      </c>
      <c r="H416" s="4" t="s">
        <v>1251</v>
      </c>
      <c r="I416" s="6" t="s">
        <v>13</v>
      </c>
    </row>
    <row r="417" spans="1:9">
      <c r="A417" s="4" t="s">
        <v>1252</v>
      </c>
      <c r="B417" s="4" t="s">
        <v>51</v>
      </c>
      <c r="C417" s="5" t="n">
        <v>10</v>
      </c>
      <c r="E417" s="5" t="n">
        <v>-4</v>
      </c>
      <c r="F417" s="4" t="s">
        <v>10</v>
      </c>
      <c r="G417" s="4" t="s">
        <v>1253</v>
      </c>
      <c r="H417" s="4" t="s">
        <v>1254</v>
      </c>
      <c r="I417" s="6" t="s">
        <v>13</v>
      </c>
    </row>
    <row r="418" spans="1:9">
      <c r="A418" s="4" t="s">
        <v>1255</v>
      </c>
      <c r="B418" s="4" t="s">
        <v>77</v>
      </c>
      <c r="C418" s="5" t="n">
        <v>11.5</v>
      </c>
      <c r="E418" s="5" t="n">
        <v>-16</v>
      </c>
      <c r="F418" s="4" t="s">
        <v>10</v>
      </c>
      <c r="G418" s="4" t="s">
        <v>1256</v>
      </c>
      <c r="H418" s="4" t="s">
        <v>1257</v>
      </c>
      <c r="I418" s="6" t="s">
        <v>13</v>
      </c>
    </row>
    <row r="419" spans="1:9">
      <c r="A419" s="4" t="s">
        <v>1258</v>
      </c>
      <c r="B419" s="4" t="s">
        <v>77</v>
      </c>
      <c r="C419" s="5" t="n">
        <v>5</v>
      </c>
      <c r="F419" s="4" t="s">
        <v>10</v>
      </c>
      <c r="G419" s="4" t="s">
        <v>1259</v>
      </c>
      <c r="H419" s="4" t="s">
        <v>1260</v>
      </c>
      <c r="I419" s="6" t="s">
        <v>13</v>
      </c>
    </row>
    <row r="420" spans="1:9">
      <c r="A420" s="4" t="s">
        <v>1261</v>
      </c>
      <c r="B420" s="4" t="s">
        <v>77</v>
      </c>
      <c r="C420" s="5" t="n">
        <v>18.5</v>
      </c>
      <c r="D420" s="5" t="n">
        <v>8.12</v>
      </c>
      <c r="E420" s="5" t="n">
        <v>11</v>
      </c>
      <c r="F420" s="4" t="s">
        <v>10</v>
      </c>
      <c r="G420" s="4" t="s">
        <v>1262</v>
      </c>
      <c r="H420" s="4" t="s">
        <v>1263</v>
      </c>
      <c r="I420" s="6" t="s">
        <v>13</v>
      </c>
    </row>
    <row r="421" spans="1:9">
      <c r="A421" s="4" t="s">
        <v>1264</v>
      </c>
      <c r="B421" s="4" t="s">
        <v>77</v>
      </c>
      <c r="C421" s="5" t="n">
        <v>18.5</v>
      </c>
      <c r="D421" s="5" t="n">
        <v>8.12</v>
      </c>
      <c r="E421" s="5" t="n">
        <v>12</v>
      </c>
      <c r="F421" s="4" t="s">
        <v>10</v>
      </c>
      <c r="G421" s="4" t="s">
        <v>1265</v>
      </c>
      <c r="H421" s="4" t="s">
        <v>1266</v>
      </c>
      <c r="I421" s="6" t="s">
        <v>13</v>
      </c>
    </row>
    <row r="422" spans="1:9">
      <c r="A422" s="4" t="s">
        <v>1267</v>
      </c>
      <c r="B422" s="4" t="s">
        <v>77</v>
      </c>
      <c r="C422" s="5" t="n">
        <v>6.5</v>
      </c>
      <c r="D422" s="5" t="n">
        <v>3.61</v>
      </c>
      <c r="E422" s="5" t="n">
        <v>11</v>
      </c>
      <c r="F422" s="4" t="s">
        <v>10</v>
      </c>
      <c r="G422" s="4" t="s">
        <v>1268</v>
      </c>
      <c r="H422" s="4" t="s">
        <v>1269</v>
      </c>
      <c r="I422" s="6" t="s">
        <v>13</v>
      </c>
    </row>
    <row r="423" spans="1:9">
      <c r="A423" s="4" t="s">
        <v>1270</v>
      </c>
      <c r="B423" s="4" t="s">
        <v>17</v>
      </c>
      <c r="C423" s="5" t="n">
        <v>39.9</v>
      </c>
      <c r="D423" s="5" t="n">
        <v>12.41</v>
      </c>
      <c r="F423" s="4" t="s">
        <v>10</v>
      </c>
      <c r="G423" s="4" t="s">
        <v>1271</v>
      </c>
      <c r="H423" s="4" t="s">
        <v>1272</v>
      </c>
      <c r="I423" s="6" t="s">
        <v>13</v>
      </c>
    </row>
    <row r="424" spans="1:9">
      <c r="A424" s="4" t="s">
        <v>1273</v>
      </c>
      <c r="B424" s="4" t="s">
        <v>17</v>
      </c>
      <c r="C424" s="5" t="n">
        <v>39.9</v>
      </c>
      <c r="D424" s="5" t="n">
        <v>10.4</v>
      </c>
      <c r="F424" s="4" t="s">
        <v>10</v>
      </c>
      <c r="G424" s="4" t="s">
        <v>1274</v>
      </c>
      <c r="H424" s="4" t="s">
        <v>1275</v>
      </c>
      <c r="I424" s="6" t="s">
        <v>13</v>
      </c>
    </row>
    <row r="425" spans="1:9">
      <c r="A425" s="4" t="s">
        <v>1276</v>
      </c>
      <c r="B425" s="4" t="s">
        <v>9</v>
      </c>
      <c r="C425" s="5" t="n">
        <v>6.9</v>
      </c>
      <c r="D425" s="5" t="n">
        <v>0.15</v>
      </c>
      <c r="F425" s="4" t="s">
        <v>10</v>
      </c>
      <c r="G425" s="4" t="s">
        <v>1277</v>
      </c>
      <c r="H425" s="4" t="s">
        <v>1278</v>
      </c>
      <c r="I425" s="6" t="s">
        <v>13</v>
      </c>
    </row>
    <row r="426" spans="1:9">
      <c r="A426" s="4" t="s">
        <v>1279</v>
      </c>
      <c r="B426" s="4" t="s">
        <v>9</v>
      </c>
      <c r="C426" s="5" t="n">
        <v>8.9</v>
      </c>
      <c r="D426" s="5" t="n">
        <v>0.18</v>
      </c>
      <c r="F426" s="4" t="s">
        <v>10</v>
      </c>
      <c r="G426" s="4" t="s">
        <v>1280</v>
      </c>
      <c r="H426" s="4" t="s">
        <v>1281</v>
      </c>
      <c r="I426" s="6" t="s">
        <v>13</v>
      </c>
    </row>
    <row r="427" spans="1:9">
      <c r="A427" s="4" t="s">
        <v>1282</v>
      </c>
      <c r="B427" s="4" t="s">
        <v>262</v>
      </c>
      <c r="C427" s="5" t="n">
        <v>61.2</v>
      </c>
      <c r="D427" s="5" t="n">
        <v>30.6</v>
      </c>
      <c r="E427" s="5" t="n">
        <v>10</v>
      </c>
      <c r="F427" s="4" t="s">
        <v>1283</v>
      </c>
      <c r="G427" s="4" t="s">
        <v>1284</v>
      </c>
      <c r="H427" s="4" t="s">
        <v>1285</v>
      </c>
      <c r="I427" s="6" t="s">
        <v>13</v>
      </c>
    </row>
    <row r="428" spans="1:9">
      <c r="A428" s="4" t="s">
        <v>1286</v>
      </c>
      <c r="B428" s="4" t="s">
        <v>875</v>
      </c>
      <c r="C428" s="5" t="n">
        <v>26.9</v>
      </c>
      <c r="D428" s="5" t="n">
        <v>0.21</v>
      </c>
      <c r="F428" s="4" t="s">
        <v>10</v>
      </c>
      <c r="G428" s="4" t="s">
        <v>1287</v>
      </c>
      <c r="H428" s="4" t="s">
        <v>1288</v>
      </c>
      <c r="I428" s="6" t="s">
        <v>13</v>
      </c>
    </row>
    <row r="429" spans="1:9">
      <c r="A429" s="4" t="s">
        <v>1289</v>
      </c>
      <c r="B429" s="4" t="s">
        <v>875</v>
      </c>
      <c r="C429" s="5" t="n">
        <v>34.9</v>
      </c>
      <c r="D429" s="5" t="n">
        <v>7.93</v>
      </c>
      <c r="F429" s="4" t="s">
        <v>10</v>
      </c>
      <c r="G429" s="4" t="s">
        <v>1290</v>
      </c>
      <c r="H429" s="4" t="s">
        <v>1291</v>
      </c>
      <c r="I429" s="6" t="s">
        <v>13</v>
      </c>
    </row>
    <row r="430" spans="1:9">
      <c r="A430" s="4" t="s">
        <v>1292</v>
      </c>
      <c r="B430" s="4" t="s">
        <v>875</v>
      </c>
      <c r="C430" s="5" t="n">
        <v>36.9</v>
      </c>
      <c r="D430" s="5" t="n">
        <v>8.22</v>
      </c>
      <c r="F430" s="4" t="s">
        <v>10</v>
      </c>
      <c r="G430" s="4" t="s">
        <v>1293</v>
      </c>
      <c r="H430" s="4" t="s">
        <v>1294</v>
      </c>
      <c r="I430" s="6" t="s">
        <v>13</v>
      </c>
    </row>
    <row r="431" spans="1:9">
      <c r="A431" s="4" t="s">
        <v>1295</v>
      </c>
      <c r="B431" s="4" t="s">
        <v>875</v>
      </c>
      <c r="C431" s="5" t="n">
        <v>27.9</v>
      </c>
      <c r="D431" s="5" t="n">
        <v>7.69</v>
      </c>
      <c r="F431" s="4" t="s">
        <v>10</v>
      </c>
      <c r="G431" s="4" t="s">
        <v>1296</v>
      </c>
      <c r="H431" s="4" t="s">
        <v>1297</v>
      </c>
      <c r="I431" s="6" t="s">
        <v>13</v>
      </c>
    </row>
    <row r="432" spans="1:9">
      <c r="A432" s="4" t="s">
        <v>1298</v>
      </c>
      <c r="B432" s="4" t="s">
        <v>875</v>
      </c>
      <c r="C432" s="5" t="n">
        <v>35.9</v>
      </c>
      <c r="D432" s="5" t="n">
        <v>32.83</v>
      </c>
      <c r="F432" s="4" t="s">
        <v>10</v>
      </c>
      <c r="G432" s="4" t="s">
        <v>1299</v>
      </c>
      <c r="H432" s="4" t="s">
        <v>1300</v>
      </c>
      <c r="I432" s="6" t="s">
        <v>13</v>
      </c>
    </row>
    <row r="433" spans="1:9">
      <c r="A433" s="4" t="s">
        <v>1301</v>
      </c>
      <c r="B433" s="4" t="s">
        <v>875</v>
      </c>
      <c r="C433" s="5" t="n">
        <v>32.9</v>
      </c>
      <c r="D433" s="5" t="n">
        <v>25.77</v>
      </c>
      <c r="F433" s="4" t="s">
        <v>10</v>
      </c>
      <c r="G433" s="4" t="s">
        <v>1302</v>
      </c>
      <c r="H433" s="4" t="s">
        <v>1303</v>
      </c>
      <c r="I433" s="6" t="s">
        <v>13</v>
      </c>
    </row>
    <row r="434" spans="1:9">
      <c r="A434" s="4" t="s">
        <v>1304</v>
      </c>
      <c r="B434" s="4" t="s">
        <v>17</v>
      </c>
      <c r="C434" s="5" t="n">
        <v>36.9</v>
      </c>
      <c r="D434" s="5" t="n">
        <v>7.93</v>
      </c>
      <c r="F434" s="4" t="s">
        <v>10</v>
      </c>
      <c r="G434" s="4" t="s">
        <v>1305</v>
      </c>
      <c r="H434" s="4" t="s">
        <v>1306</v>
      </c>
      <c r="I434" s="6" t="s">
        <v>13</v>
      </c>
    </row>
    <row r="435" spans="1:9">
      <c r="A435" s="4" t="s">
        <v>1307</v>
      </c>
      <c r="B435" s="4" t="s">
        <v>77</v>
      </c>
      <c r="C435" s="5" t="n">
        <v>3.75</v>
      </c>
      <c r="D435" s="5" t="n">
        <v>2.24</v>
      </c>
      <c r="E435" s="5" t="n">
        <v>14</v>
      </c>
      <c r="F435" s="4" t="s">
        <v>10</v>
      </c>
      <c r="G435" s="4" t="s">
        <v>1308</v>
      </c>
      <c r="H435" s="4" t="s">
        <v>1309</v>
      </c>
      <c r="I435" s="6" t="s">
        <v>13</v>
      </c>
    </row>
    <row r="436" spans="1:9">
      <c r="A436" s="4" t="s">
        <v>1310</v>
      </c>
      <c r="B436" s="4" t="s">
        <v>77</v>
      </c>
      <c r="C436" s="5" t="n">
        <v>17.75</v>
      </c>
      <c r="D436" s="5" t="n">
        <v>10.33</v>
      </c>
      <c r="E436" s="5" t="n">
        <v>4</v>
      </c>
      <c r="F436" s="4" t="s">
        <v>10</v>
      </c>
      <c r="G436" s="4" t="s">
        <v>1311</v>
      </c>
      <c r="H436" s="4" t="s">
        <v>1312</v>
      </c>
      <c r="I436" s="6" t="s">
        <v>13</v>
      </c>
    </row>
    <row r="437" spans="1:9">
      <c r="A437" s="4" t="s">
        <v>1313</v>
      </c>
      <c r="B437" s="4" t="s">
        <v>77</v>
      </c>
      <c r="C437" s="5" t="n">
        <v>18.5</v>
      </c>
      <c r="E437" s="5" t="n">
        <v>-6</v>
      </c>
      <c r="F437" s="4" t="s">
        <v>10</v>
      </c>
      <c r="G437" s="4" t="s">
        <v>1314</v>
      </c>
      <c r="H437" s="4" t="s">
        <v>1315</v>
      </c>
      <c r="I437" s="6" t="s">
        <v>13</v>
      </c>
    </row>
    <row r="438" spans="1:9">
      <c r="A438" s="4" t="s">
        <v>1316</v>
      </c>
      <c r="B438" s="4" t="s">
        <v>77</v>
      </c>
      <c r="C438" s="5" t="n">
        <v>3.75</v>
      </c>
      <c r="E438" s="5" t="n">
        <v>-31</v>
      </c>
      <c r="F438" s="4" t="s">
        <v>10</v>
      </c>
      <c r="G438" s="4" t="s">
        <v>1317</v>
      </c>
      <c r="H438" s="4" t="s">
        <v>1318</v>
      </c>
      <c r="I438" s="6" t="s">
        <v>13</v>
      </c>
    </row>
    <row r="439" spans="1:9">
      <c r="A439" s="4" t="s">
        <v>1319</v>
      </c>
      <c r="B439" s="4" t="s">
        <v>77</v>
      </c>
      <c r="C439" s="5" t="n">
        <v>3.75</v>
      </c>
      <c r="F439" s="4" t="s">
        <v>10</v>
      </c>
      <c r="G439" s="4" t="s">
        <v>1320</v>
      </c>
      <c r="H439" s="4" t="s">
        <v>1321</v>
      </c>
      <c r="I439" s="6" t="s">
        <v>13</v>
      </c>
    </row>
    <row r="440" spans="1:9">
      <c r="A440" s="4" t="s">
        <v>1322</v>
      </c>
      <c r="B440" s="4" t="s">
        <v>77</v>
      </c>
      <c r="C440" s="5" t="n">
        <v>2</v>
      </c>
      <c r="D440" s="5" t="n">
        <v>1.02</v>
      </c>
      <c r="E440" s="5" t="n">
        <v>47</v>
      </c>
      <c r="F440" s="4" t="s">
        <v>10</v>
      </c>
      <c r="G440" s="4" t="s">
        <v>1323</v>
      </c>
      <c r="H440" s="4" t="s">
        <v>1324</v>
      </c>
      <c r="I440" s="6" t="s">
        <v>13</v>
      </c>
    </row>
    <row r="441" spans="1:9">
      <c r="A441" s="4" t="s">
        <v>1325</v>
      </c>
      <c r="B441" s="4" t="s">
        <v>77</v>
      </c>
      <c r="C441" s="5" t="n">
        <v>17.75</v>
      </c>
      <c r="D441" s="5" t="n">
        <v>10.33</v>
      </c>
      <c r="E441" s="5" t="n">
        <v>1</v>
      </c>
      <c r="F441" s="4" t="s">
        <v>10</v>
      </c>
      <c r="G441" s="4" t="s">
        <v>1326</v>
      </c>
      <c r="H441" s="4" t="s">
        <v>1327</v>
      </c>
      <c r="I441" s="6" t="s">
        <v>13</v>
      </c>
    </row>
    <row r="442" spans="1:9">
      <c r="A442" s="4" t="s">
        <v>1328</v>
      </c>
      <c r="B442" s="4" t="s">
        <v>77</v>
      </c>
      <c r="C442" s="5" t="n">
        <v>3</v>
      </c>
      <c r="D442" s="5" t="n">
        <v>1.63</v>
      </c>
      <c r="E442" s="5" t="n">
        <v>7</v>
      </c>
      <c r="F442" s="4" t="s">
        <v>10</v>
      </c>
      <c r="G442" s="4" t="s">
        <v>1329</v>
      </c>
      <c r="H442" s="4" t="s">
        <v>1330</v>
      </c>
      <c r="I442" s="6" t="s">
        <v>13</v>
      </c>
    </row>
    <row r="443" spans="1:9">
      <c r="A443" s="4" t="s">
        <v>1331</v>
      </c>
      <c r="B443" s="4" t="s">
        <v>77</v>
      </c>
      <c r="C443" s="5" t="n">
        <v>17.75</v>
      </c>
      <c r="D443" s="5" t="n">
        <v>10.33</v>
      </c>
      <c r="E443" s="5" t="n">
        <v>5</v>
      </c>
      <c r="F443" s="4" t="s">
        <v>10</v>
      </c>
      <c r="G443" s="4" t="s">
        <v>1332</v>
      </c>
      <c r="H443" s="4" t="s">
        <v>1333</v>
      </c>
      <c r="I443" s="6" t="s">
        <v>13</v>
      </c>
    </row>
    <row r="444" spans="1:9">
      <c r="A444" s="4" t="s">
        <v>1334</v>
      </c>
      <c r="B444" s="4" t="s">
        <v>77</v>
      </c>
      <c r="C444" s="5" t="n">
        <v>3</v>
      </c>
      <c r="D444" s="5" t="n">
        <v>1.63</v>
      </c>
      <c r="E444" s="5" t="n">
        <v>15</v>
      </c>
      <c r="F444" s="4" t="s">
        <v>10</v>
      </c>
      <c r="G444" s="4" t="s">
        <v>1335</v>
      </c>
      <c r="H444" s="4" t="s">
        <v>1336</v>
      </c>
      <c r="I444" s="6" t="s">
        <v>13</v>
      </c>
    </row>
    <row r="445" spans="1:9">
      <c r="A445" s="4" t="s">
        <v>1337</v>
      </c>
      <c r="B445" s="4" t="s">
        <v>77</v>
      </c>
      <c r="C445" s="5" t="n">
        <v>3.75</v>
      </c>
      <c r="E445" s="5" t="n">
        <v>-42</v>
      </c>
      <c r="F445" s="4" t="s">
        <v>10</v>
      </c>
      <c r="G445" s="4" t="s">
        <v>1338</v>
      </c>
      <c r="H445" s="4" t="s">
        <v>1339</v>
      </c>
      <c r="I445" s="6" t="s">
        <v>13</v>
      </c>
    </row>
    <row r="446" spans="1:9">
      <c r="A446" s="4" t="s">
        <v>1340</v>
      </c>
      <c r="B446" s="4" t="s">
        <v>77</v>
      </c>
      <c r="C446" s="5" t="n">
        <v>3.75</v>
      </c>
      <c r="E446" s="5" t="n">
        <v>-2</v>
      </c>
      <c r="F446" s="4" t="s">
        <v>10</v>
      </c>
      <c r="G446" s="4" t="s">
        <v>1341</v>
      </c>
      <c r="H446" s="4" t="s">
        <v>1342</v>
      </c>
      <c r="I446" s="6" t="s">
        <v>13</v>
      </c>
    </row>
    <row r="447" spans="1:9">
      <c r="A447" s="4" t="s">
        <v>1343</v>
      </c>
      <c r="B447" s="4" t="s">
        <v>77</v>
      </c>
      <c r="C447" s="5" t="n">
        <v>3</v>
      </c>
      <c r="D447" s="5" t="n">
        <v>1.64</v>
      </c>
      <c r="E447" s="5" t="n">
        <v>15</v>
      </c>
      <c r="F447" s="4" t="s">
        <v>10</v>
      </c>
      <c r="G447" s="4" t="s">
        <v>1344</v>
      </c>
      <c r="H447" s="4" t="s">
        <v>1345</v>
      </c>
      <c r="I447" s="6" t="s">
        <v>13</v>
      </c>
    </row>
    <row r="448" spans="1:9">
      <c r="A448" s="4" t="s">
        <v>1346</v>
      </c>
      <c r="B448" s="4" t="s">
        <v>77</v>
      </c>
      <c r="C448" s="5" t="n">
        <v>3.75</v>
      </c>
      <c r="D448" s="5" t="n">
        <v>2.24</v>
      </c>
      <c r="E448" s="5" t="n">
        <v>15</v>
      </c>
      <c r="F448" s="4" t="s">
        <v>10</v>
      </c>
      <c r="G448" s="4" t="s">
        <v>1347</v>
      </c>
      <c r="H448" s="4" t="s">
        <v>1348</v>
      </c>
      <c r="I448" s="6" t="s">
        <v>13</v>
      </c>
    </row>
    <row r="449" spans="1:9">
      <c r="A449" s="4" t="s">
        <v>1349</v>
      </c>
      <c r="B449" s="4" t="s">
        <v>77</v>
      </c>
      <c r="C449" s="5" t="n">
        <v>3.75</v>
      </c>
      <c r="D449" s="5" t="n">
        <v>2.24</v>
      </c>
      <c r="E449" s="5" t="n">
        <v>16</v>
      </c>
      <c r="F449" s="4" t="s">
        <v>10</v>
      </c>
      <c r="G449" s="4" t="s">
        <v>1350</v>
      </c>
      <c r="H449" s="4" t="s">
        <v>1351</v>
      </c>
      <c r="I449" s="6" t="s">
        <v>13</v>
      </c>
    </row>
    <row r="450" spans="1:9">
      <c r="A450" s="4" t="s">
        <v>1352</v>
      </c>
      <c r="B450" s="4" t="s">
        <v>77</v>
      </c>
      <c r="C450" s="5" t="n">
        <v>3</v>
      </c>
      <c r="E450" s="5" t="n">
        <v>-18</v>
      </c>
      <c r="F450" s="4" t="s">
        <v>10</v>
      </c>
      <c r="G450" s="4" t="s">
        <v>1353</v>
      </c>
      <c r="H450" s="4" t="s">
        <v>1354</v>
      </c>
      <c r="I450" s="6" t="s">
        <v>13</v>
      </c>
    </row>
    <row r="451" spans="1:9">
      <c r="A451" s="4" t="s">
        <v>1355</v>
      </c>
      <c r="B451" s="4" t="s">
        <v>14</v>
      </c>
      <c r="C451" s="5" t="n">
        <v>10.9</v>
      </c>
      <c r="F451" s="4" t="s">
        <v>10</v>
      </c>
      <c r="G451" s="4" t="s">
        <v>1356</v>
      </c>
      <c r="H451" s="4" t="s">
        <v>1357</v>
      </c>
      <c r="I451" s="6" t="s">
        <v>13</v>
      </c>
    </row>
    <row r="452" spans="1:9">
      <c r="A452" s="4" t="s">
        <v>1358</v>
      </c>
      <c r="B452" s="4" t="s">
        <v>24</v>
      </c>
      <c r="C452" s="5" t="n">
        <v>16.9</v>
      </c>
      <c r="D452" s="5" t="n">
        <v>4.56</v>
      </c>
      <c r="F452" s="4" t="s">
        <v>10</v>
      </c>
      <c r="G452" s="4" t="s">
        <v>1359</v>
      </c>
      <c r="H452" s="4" t="s">
        <v>1360</v>
      </c>
      <c r="I452" s="6" t="s">
        <v>13</v>
      </c>
    </row>
    <row r="453" spans="1:9">
      <c r="A453" s="4" t="s">
        <v>1361</v>
      </c>
      <c r="B453" s="4" t="s">
        <v>24</v>
      </c>
      <c r="C453" s="5" t="n">
        <v>16.9</v>
      </c>
      <c r="D453" s="5" t="n">
        <v>3.2</v>
      </c>
      <c r="F453" s="4" t="s">
        <v>10</v>
      </c>
      <c r="G453" s="4" t="s">
        <v>1362</v>
      </c>
      <c r="H453" s="4" t="s">
        <v>1363</v>
      </c>
      <c r="I453" s="6" t="s">
        <v>13</v>
      </c>
    </row>
    <row r="454" spans="1:9">
      <c r="A454" s="4" t="s">
        <v>1364</v>
      </c>
      <c r="B454" s="4" t="s">
        <v>77</v>
      </c>
      <c r="C454" s="5" t="n">
        <v>7.5</v>
      </c>
      <c r="D454" s="5" t="n">
        <v>4.52</v>
      </c>
      <c r="E454" s="5" t="n">
        <v>8</v>
      </c>
      <c r="F454" s="4" t="s">
        <v>10</v>
      </c>
      <c r="G454" s="4" t="s">
        <v>1365</v>
      </c>
      <c r="H454" s="4" t="s">
        <v>1366</v>
      </c>
      <c r="I454" s="6" t="s">
        <v>13</v>
      </c>
    </row>
    <row r="455" spans="1:9">
      <c r="A455" s="4" t="s">
        <v>1367</v>
      </c>
      <c r="B455" s="4" t="s">
        <v>77</v>
      </c>
      <c r="C455" s="5" t="n">
        <v>7.5</v>
      </c>
      <c r="E455" s="5" t="n">
        <v>-11</v>
      </c>
      <c r="F455" s="4" t="s">
        <v>10</v>
      </c>
      <c r="G455" s="4" t="s">
        <v>1368</v>
      </c>
      <c r="H455" s="4" t="s">
        <v>1369</v>
      </c>
      <c r="I455" s="6" t="s">
        <v>13</v>
      </c>
    </row>
    <row r="456" spans="1:9">
      <c r="A456" s="4" t="s">
        <v>1370</v>
      </c>
      <c r="B456" s="4" t="s">
        <v>77</v>
      </c>
      <c r="C456" s="5" t="n">
        <v>7</v>
      </c>
      <c r="D456" s="5" t="n">
        <v>4.52</v>
      </c>
      <c r="E456" s="5" t="n">
        <v>18</v>
      </c>
      <c r="F456" s="4" t="s">
        <v>10</v>
      </c>
      <c r="G456" s="4" t="s">
        <v>1371</v>
      </c>
      <c r="H456" s="4" t="s">
        <v>1372</v>
      </c>
      <c r="I456" s="6" t="s">
        <v>13</v>
      </c>
    </row>
    <row r="457" spans="1:9">
      <c r="A457" s="4" t="s">
        <v>1373</v>
      </c>
      <c r="B457" s="4" t="s">
        <v>1374</v>
      </c>
      <c r="E457" s="5" t="n">
        <v>-2.195</v>
      </c>
      <c r="F457" s="4" t="s">
        <v>263</v>
      </c>
      <c r="G457" s="4" t="s">
        <v>1375</v>
      </c>
      <c r="H457" s="4" t="s">
        <v>1376</v>
      </c>
      <c r="I457" s="6" t="s">
        <v>13</v>
      </c>
    </row>
    <row r="458" spans="1:9">
      <c r="A458" s="4" t="s">
        <v>1377</v>
      </c>
      <c r="B458" s="4" t="s">
        <v>1374</v>
      </c>
      <c r="F458" s="4" t="s">
        <v>263</v>
      </c>
      <c r="G458" s="4" t="s">
        <v>1378</v>
      </c>
      <c r="H458" s="4" t="s">
        <v>1379</v>
      </c>
      <c r="I458" s="6" t="s">
        <v>13</v>
      </c>
    </row>
    <row r="459" spans="1:9">
      <c r="A459" s="4" t="s">
        <v>1380</v>
      </c>
      <c r="B459" s="4" t="s">
        <v>1381</v>
      </c>
      <c r="F459" s="4" t="s">
        <v>1382</v>
      </c>
      <c r="G459" s="4" t="s">
        <v>1383</v>
      </c>
      <c r="H459" s="4" t="s">
        <v>1384</v>
      </c>
      <c r="I459" s="6" t="s">
        <v>13</v>
      </c>
    </row>
    <row r="460" spans="1:9">
      <c r="A460" s="4" t="s">
        <v>1385</v>
      </c>
      <c r="B460" s="4" t="s">
        <v>1386</v>
      </c>
      <c r="D460" s="5" t="n">
        <v>15.14</v>
      </c>
      <c r="E460" s="5" t="n">
        <v>9.23</v>
      </c>
      <c r="F460" s="4" t="s">
        <v>263</v>
      </c>
      <c r="G460" s="4" t="s">
        <v>1387</v>
      </c>
      <c r="H460" s="4" t="s">
        <v>1388</v>
      </c>
      <c r="I460" s="6" t="s">
        <v>13</v>
      </c>
    </row>
    <row r="461" spans="1:9">
      <c r="A461" s="4" t="s">
        <v>1389</v>
      </c>
      <c r="B461" s="4" t="s">
        <v>1390</v>
      </c>
      <c r="D461" s="5" t="n">
        <v>25</v>
      </c>
      <c r="E461" s="5" t="n">
        <v>4</v>
      </c>
      <c r="F461" s="4" t="s">
        <v>263</v>
      </c>
      <c r="G461" s="4" t="s">
        <v>1391</v>
      </c>
      <c r="H461" s="4" t="s">
        <v>1392</v>
      </c>
      <c r="I461" s="6" t="s">
        <v>13</v>
      </c>
    </row>
    <row r="462" spans="1:9">
      <c r="A462" s="4" t="s">
        <v>1393</v>
      </c>
      <c r="B462" s="4" t="s">
        <v>1390</v>
      </c>
      <c r="F462" s="4" t="s">
        <v>263</v>
      </c>
      <c r="G462" s="4" t="s">
        <v>1394</v>
      </c>
      <c r="H462" s="4" t="s">
        <v>1395</v>
      </c>
      <c r="I462" s="6" t="s">
        <v>13</v>
      </c>
    </row>
    <row r="463" spans="1:9">
      <c r="A463" s="4" t="s">
        <v>1396</v>
      </c>
      <c r="B463" s="4" t="s">
        <v>1397</v>
      </c>
      <c r="D463" s="5" t="n">
        <v>23.67</v>
      </c>
      <c r="E463" s="5" t="n">
        <v>-0.3</v>
      </c>
      <c r="F463" s="4" t="s">
        <v>263</v>
      </c>
      <c r="G463" s="4" t="s">
        <v>1398</v>
      </c>
      <c r="H463" s="4" t="s">
        <v>1399</v>
      </c>
      <c r="I463" s="6" t="s">
        <v>13</v>
      </c>
    </row>
    <row r="464" spans="1:9">
      <c r="A464" s="4" t="s">
        <v>1400</v>
      </c>
      <c r="B464" s="4" t="s">
        <v>1374</v>
      </c>
      <c r="D464" s="5" t="n">
        <v>4.69</v>
      </c>
      <c r="E464" s="5" t="n">
        <v>60</v>
      </c>
      <c r="F464" s="4" t="s">
        <v>263</v>
      </c>
      <c r="G464" s="4" t="s">
        <v>1401</v>
      </c>
      <c r="H464" s="4" t="s">
        <v>1402</v>
      </c>
      <c r="I464" s="6" t="s">
        <v>13</v>
      </c>
    </row>
    <row r="465" spans="1:9">
      <c r="A465" s="4" t="s">
        <v>1403</v>
      </c>
      <c r="B465" s="4" t="s">
        <v>1404</v>
      </c>
      <c r="F465" s="4" t="s">
        <v>263</v>
      </c>
      <c r="G465" s="4" t="s">
        <v>1405</v>
      </c>
      <c r="H465" s="4" t="s">
        <v>1406</v>
      </c>
      <c r="I465" s="6" t="s">
        <v>13</v>
      </c>
    </row>
    <row r="466" spans="1:9">
      <c r="A466" s="4" t="s">
        <v>1407</v>
      </c>
      <c r="B466" s="4" t="s">
        <v>1408</v>
      </c>
      <c r="F466" s="4" t="s">
        <v>10</v>
      </c>
      <c r="G466" s="4" t="s">
        <v>1409</v>
      </c>
      <c r="H466" s="4" t="s">
        <v>1410</v>
      </c>
      <c r="I466" s="6" t="s">
        <v>13</v>
      </c>
    </row>
    <row r="467" spans="1:9">
      <c r="A467" s="4" t="s">
        <v>1411</v>
      </c>
      <c r="B467" s="4" t="s">
        <v>1404</v>
      </c>
      <c r="E467" s="5" t="n">
        <v>-2.775</v>
      </c>
      <c r="F467" s="4" t="s">
        <v>263</v>
      </c>
      <c r="G467" s="4" t="s">
        <v>1412</v>
      </c>
      <c r="H467" s="4" t="s">
        <v>1413</v>
      </c>
      <c r="I467" s="6" t="s">
        <v>13</v>
      </c>
    </row>
    <row r="468" spans="1:9">
      <c r="A468" s="4" t="s">
        <v>1414</v>
      </c>
      <c r="B468" s="4" t="s">
        <v>1386</v>
      </c>
      <c r="D468" s="5" t="n">
        <v>9.11</v>
      </c>
      <c r="E468" s="5" t="n">
        <v>115.08</v>
      </c>
      <c r="F468" s="4" t="s">
        <v>263</v>
      </c>
      <c r="G468" s="4" t="s">
        <v>1415</v>
      </c>
      <c r="H468" s="4" t="s">
        <v>1416</v>
      </c>
      <c r="I468" s="6" t="s">
        <v>13</v>
      </c>
    </row>
    <row r="469" spans="1:9">
      <c r="A469" s="4" t="s">
        <v>1417</v>
      </c>
      <c r="B469" s="4" t="s">
        <v>1418</v>
      </c>
      <c r="D469" s="5" t="n">
        <v>12.04</v>
      </c>
      <c r="E469" s="5" t="n">
        <v>26.1</v>
      </c>
      <c r="F469" s="4" t="s">
        <v>263</v>
      </c>
      <c r="G469" s="4" t="s">
        <v>1419</v>
      </c>
      <c r="H469" s="4" t="s">
        <v>1420</v>
      </c>
      <c r="I469" s="6" t="s">
        <v>13</v>
      </c>
    </row>
    <row r="470" spans="1:9">
      <c r="A470" s="4" t="s">
        <v>1421</v>
      </c>
      <c r="B470" s="4" t="s">
        <v>1422</v>
      </c>
      <c r="F470" s="4" t="s">
        <v>263</v>
      </c>
      <c r="G470" s="4" t="s">
        <v>1423</v>
      </c>
      <c r="H470" s="4" t="s">
        <v>1424</v>
      </c>
      <c r="I470" s="6" t="s">
        <v>13</v>
      </c>
    </row>
    <row r="471" spans="1:9">
      <c r="A471" s="4" t="s">
        <v>1425</v>
      </c>
      <c r="B471" s="4" t="s">
        <v>1426</v>
      </c>
      <c r="F471" s="4" t="s">
        <v>263</v>
      </c>
      <c r="G471" s="4" t="s">
        <v>1427</v>
      </c>
      <c r="H471" s="4" t="s">
        <v>1428</v>
      </c>
      <c r="I471" s="6" t="s">
        <v>13</v>
      </c>
    </row>
    <row r="472" spans="1:9">
      <c r="A472" s="4" t="s">
        <v>1429</v>
      </c>
      <c r="B472" s="4" t="s">
        <v>1390</v>
      </c>
      <c r="D472" s="5" t="n">
        <v>19.92</v>
      </c>
      <c r="E472" s="5" t="n">
        <v>5.05</v>
      </c>
      <c r="F472" s="4" t="s">
        <v>263</v>
      </c>
      <c r="G472" s="4" t="s">
        <v>1430</v>
      </c>
      <c r="H472" s="4" t="s">
        <v>1431</v>
      </c>
      <c r="I472" s="6" t="s">
        <v>13</v>
      </c>
    </row>
    <row r="473" spans="1:9">
      <c r="A473" s="4" t="s">
        <v>1432</v>
      </c>
      <c r="B473" s="4" t="s">
        <v>1390</v>
      </c>
      <c r="D473" s="5" t="n">
        <v>19.25</v>
      </c>
      <c r="E473" s="5" t="n">
        <v>6</v>
      </c>
      <c r="F473" s="4" t="s">
        <v>263</v>
      </c>
      <c r="G473" s="4" t="s">
        <v>1433</v>
      </c>
      <c r="H473" s="4" t="s">
        <v>1434</v>
      </c>
      <c r="I473" s="6" t="s">
        <v>13</v>
      </c>
    </row>
    <row r="474" spans="1:9">
      <c r="A474" s="4" t="s">
        <v>1435</v>
      </c>
      <c r="B474" s="4" t="s">
        <v>1390</v>
      </c>
      <c r="D474" s="5" t="n">
        <v>19.25</v>
      </c>
      <c r="E474" s="5" t="n">
        <v>30</v>
      </c>
      <c r="F474" s="4" t="s">
        <v>263</v>
      </c>
      <c r="G474" s="4" t="s">
        <v>1436</v>
      </c>
      <c r="H474" s="4" t="s">
        <v>1437</v>
      </c>
      <c r="I474" s="6" t="s">
        <v>13</v>
      </c>
    </row>
    <row r="475" spans="1:9">
      <c r="A475" s="4" t="s">
        <v>1438</v>
      </c>
      <c r="B475" s="4" t="s">
        <v>1439</v>
      </c>
      <c r="D475" s="5" t="n">
        <v>73.9</v>
      </c>
      <c r="E475" s="5" t="n">
        <v>30</v>
      </c>
      <c r="F475" s="4" t="s">
        <v>263</v>
      </c>
      <c r="G475" s="4" t="s">
        <v>1440</v>
      </c>
      <c r="H475" s="4" t="s">
        <v>1441</v>
      </c>
      <c r="I475" s="6" t="s">
        <v>13</v>
      </c>
    </row>
    <row r="476" spans="1:9">
      <c r="A476" s="4" t="s">
        <v>1442</v>
      </c>
      <c r="B476" s="4" t="s">
        <v>1439</v>
      </c>
      <c r="F476" s="4" t="s">
        <v>263</v>
      </c>
      <c r="G476" s="4" t="s">
        <v>1443</v>
      </c>
      <c r="H476" s="4" t="s">
        <v>1444</v>
      </c>
      <c r="I476" s="6" t="s">
        <v>13</v>
      </c>
    </row>
    <row r="477" spans="1:9">
      <c r="A477" s="4" t="s">
        <v>1445</v>
      </c>
      <c r="B477" s="4" t="s">
        <v>1422</v>
      </c>
      <c r="F477" s="4" t="s">
        <v>263</v>
      </c>
      <c r="G477" s="4" t="s">
        <v>1446</v>
      </c>
      <c r="H477" s="4" t="s">
        <v>1447</v>
      </c>
      <c r="I477" s="6" t="s">
        <v>13</v>
      </c>
    </row>
    <row r="478" spans="1:9">
      <c r="A478" s="4" t="s">
        <v>1448</v>
      </c>
      <c r="B478" s="4" t="s">
        <v>1404</v>
      </c>
      <c r="D478" s="5" t="n">
        <v>39.84</v>
      </c>
      <c r="E478" s="5" t="n">
        <v>123.967</v>
      </c>
      <c r="F478" s="4" t="s">
        <v>263</v>
      </c>
      <c r="G478" s="4" t="s">
        <v>1449</v>
      </c>
      <c r="H478" s="4" t="s">
        <v>1450</v>
      </c>
      <c r="I478" s="6" t="s">
        <v>13</v>
      </c>
    </row>
    <row r="479" spans="1:9">
      <c r="A479" s="4" t="s">
        <v>1451</v>
      </c>
      <c r="B479" s="4" t="s">
        <v>1404</v>
      </c>
      <c r="E479" s="5" t="n">
        <v>-4.07</v>
      </c>
      <c r="F479" s="4" t="s">
        <v>263</v>
      </c>
      <c r="G479" s="4" t="s">
        <v>1452</v>
      </c>
      <c r="H479" s="4" t="s">
        <v>1453</v>
      </c>
      <c r="I479" s="6" t="s">
        <v>13</v>
      </c>
    </row>
    <row r="480" spans="1:9">
      <c r="A480" s="4" t="s">
        <v>1454</v>
      </c>
      <c r="B480" s="4" t="s">
        <v>1404</v>
      </c>
      <c r="D480" s="5" t="n">
        <v>48.98</v>
      </c>
      <c r="E480" s="5" t="n">
        <v>90</v>
      </c>
      <c r="F480" s="4" t="s">
        <v>263</v>
      </c>
      <c r="G480" s="4" t="s">
        <v>1455</v>
      </c>
      <c r="H480" s="4" t="s">
        <v>1456</v>
      </c>
      <c r="I480" s="6" t="s">
        <v>13</v>
      </c>
    </row>
    <row r="481" spans="1:9">
      <c r="A481" s="4" t="s">
        <v>1457</v>
      </c>
      <c r="B481" s="4" t="s">
        <v>341</v>
      </c>
      <c r="D481" s="5" t="n">
        <v>97.96</v>
      </c>
      <c r="F481" s="4" t="s">
        <v>263</v>
      </c>
      <c r="G481" s="4" t="s">
        <v>1458</v>
      </c>
      <c r="H481" s="4" t="s">
        <v>1459</v>
      </c>
      <c r="I481" s="6" t="s">
        <v>13</v>
      </c>
    </row>
    <row r="482" spans="1:9">
      <c r="A482" s="4" t="s">
        <v>1460</v>
      </c>
      <c r="B482" s="4" t="s">
        <v>1404</v>
      </c>
      <c r="D482" s="5" t="n">
        <v>47</v>
      </c>
      <c r="E482" s="5" t="n">
        <v>202</v>
      </c>
      <c r="F482" s="4" t="s">
        <v>263</v>
      </c>
      <c r="G482" s="4" t="s">
        <v>1461</v>
      </c>
      <c r="H482" s="4" t="s">
        <v>1462</v>
      </c>
      <c r="I482" s="6" t="s">
        <v>13</v>
      </c>
    </row>
    <row r="483" spans="1:9">
      <c r="A483" s="4" t="s">
        <v>1463</v>
      </c>
      <c r="B483" s="4" t="s">
        <v>341</v>
      </c>
      <c r="D483" s="5" t="n">
        <v>94</v>
      </c>
      <c r="F483" s="4" t="s">
        <v>263</v>
      </c>
      <c r="G483" s="4" t="s">
        <v>1464</v>
      </c>
      <c r="H483" s="4" t="s">
        <v>1465</v>
      </c>
      <c r="I483" s="6" t="s">
        <v>13</v>
      </c>
    </row>
    <row r="484" spans="1:9">
      <c r="A484" s="4" t="s">
        <v>1466</v>
      </c>
      <c r="B484" s="4" t="s">
        <v>1404</v>
      </c>
      <c r="F484" s="4" t="s">
        <v>263</v>
      </c>
      <c r="G484" s="4" t="s">
        <v>1467</v>
      </c>
      <c r="H484" s="4" t="s">
        <v>1468</v>
      </c>
      <c r="I484" s="6" t="s">
        <v>13</v>
      </c>
    </row>
    <row r="485" spans="1:9">
      <c r="A485" s="4" t="s">
        <v>1469</v>
      </c>
      <c r="B485" s="4" t="s">
        <v>341</v>
      </c>
      <c r="D485" s="5" t="n">
        <v>45</v>
      </c>
      <c r="F485" s="4" t="s">
        <v>263</v>
      </c>
      <c r="G485" s="4" t="s">
        <v>1470</v>
      </c>
      <c r="H485" s="4" t="s">
        <v>1471</v>
      </c>
      <c r="I485" s="6" t="s">
        <v>13</v>
      </c>
    </row>
    <row r="486" spans="1:9">
      <c r="A486" s="4" t="s">
        <v>1472</v>
      </c>
      <c r="B486" s="4" t="s">
        <v>1404</v>
      </c>
      <c r="D486" s="5" t="n">
        <v>18</v>
      </c>
      <c r="E486" s="5" t="n">
        <v>5</v>
      </c>
      <c r="F486" s="4" t="s">
        <v>263</v>
      </c>
      <c r="G486" s="4" t="s">
        <v>1473</v>
      </c>
      <c r="H486" s="4" t="s">
        <v>1474</v>
      </c>
      <c r="I486" s="6" t="s">
        <v>13</v>
      </c>
    </row>
    <row r="487" spans="1:9">
      <c r="A487" s="4" t="s">
        <v>1475</v>
      </c>
      <c r="B487" s="4" t="s">
        <v>341</v>
      </c>
      <c r="D487" s="5" t="n">
        <v>21.17</v>
      </c>
      <c r="F487" s="4" t="s">
        <v>263</v>
      </c>
      <c r="G487" s="4" t="s">
        <v>1476</v>
      </c>
      <c r="H487" s="4" t="s">
        <v>1477</v>
      </c>
      <c r="I487" s="6" t="s">
        <v>13</v>
      </c>
    </row>
    <row r="488" spans="1:9">
      <c r="A488" s="4" t="s">
        <v>1478</v>
      </c>
      <c r="B488" s="4" t="s">
        <v>1404</v>
      </c>
      <c r="D488" s="5" t="n">
        <v>45</v>
      </c>
      <c r="E488" s="5" t="n">
        <v>5</v>
      </c>
      <c r="F488" s="4" t="s">
        <v>263</v>
      </c>
      <c r="G488" s="4" t="s">
        <v>1479</v>
      </c>
      <c r="H488" s="4" t="s">
        <v>1480</v>
      </c>
      <c r="I488" s="6" t="s">
        <v>13</v>
      </c>
    </row>
    <row r="489" spans="1:9">
      <c r="A489" s="4" t="s">
        <v>1481</v>
      </c>
      <c r="B489" s="4" t="s">
        <v>1386</v>
      </c>
      <c r="D489" s="5" t="n">
        <v>5.5</v>
      </c>
      <c r="E489" s="5" t="n">
        <v>60</v>
      </c>
      <c r="F489" s="4" t="s">
        <v>263</v>
      </c>
      <c r="G489" s="4" t="s">
        <v>1482</v>
      </c>
      <c r="H489" s="4" t="s">
        <v>1483</v>
      </c>
      <c r="I489" s="6" t="s">
        <v>13</v>
      </c>
    </row>
    <row r="490" spans="1:9">
      <c r="A490" s="4" t="s">
        <v>1484</v>
      </c>
      <c r="B490" s="4" t="s">
        <v>1386</v>
      </c>
      <c r="D490" s="5" t="n">
        <v>8</v>
      </c>
      <c r="E490" s="5" t="n">
        <v>10</v>
      </c>
      <c r="F490" s="4" t="s">
        <v>263</v>
      </c>
      <c r="G490" s="4" t="s">
        <v>1485</v>
      </c>
      <c r="H490" s="4" t="s">
        <v>1486</v>
      </c>
      <c r="I490" s="6" t="s">
        <v>13</v>
      </c>
    </row>
    <row r="491" spans="1:9">
      <c r="A491" s="4" t="s">
        <v>1484</v>
      </c>
      <c r="B491" s="4" t="s">
        <v>1386</v>
      </c>
      <c r="F491" s="4" t="s">
        <v>10</v>
      </c>
      <c r="G491" s="4" t="s">
        <v>1487</v>
      </c>
      <c r="H491" s="4" t="s">
        <v>1488</v>
      </c>
      <c r="I491" s="6" t="s">
        <v>13</v>
      </c>
    </row>
    <row r="492" spans="1:9">
      <c r="A492" s="4" t="s">
        <v>1489</v>
      </c>
      <c r="B492" s="4" t="s">
        <v>1397</v>
      </c>
      <c r="D492" s="5" t="n">
        <v>38.66</v>
      </c>
      <c r="E492" s="5" t="n">
        <v>3</v>
      </c>
      <c r="F492" s="4" t="s">
        <v>263</v>
      </c>
      <c r="G492" s="4" t="s">
        <v>1490</v>
      </c>
      <c r="H492" s="4" t="s">
        <v>1491</v>
      </c>
      <c r="I492" s="6" t="s">
        <v>13</v>
      </c>
    </row>
    <row r="493" spans="1:9">
      <c r="A493" s="4" t="s">
        <v>1492</v>
      </c>
      <c r="B493" s="4" t="s">
        <v>1426</v>
      </c>
      <c r="F493" s="4" t="s">
        <v>263</v>
      </c>
      <c r="G493" s="4" t="s">
        <v>1493</v>
      </c>
      <c r="H493" s="4" t="s">
        <v>1494</v>
      </c>
      <c r="I493" s="6" t="s">
        <v>13</v>
      </c>
    </row>
    <row r="494" spans="1:9">
      <c r="A494" s="4" t="s">
        <v>1495</v>
      </c>
      <c r="B494" s="4" t="s">
        <v>1390</v>
      </c>
      <c r="F494" s="4" t="s">
        <v>263</v>
      </c>
      <c r="G494" s="4" t="s">
        <v>1496</v>
      </c>
      <c r="H494" s="4" t="s">
        <v>1497</v>
      </c>
      <c r="I494" s="6" t="s">
        <v>13</v>
      </c>
    </row>
    <row r="495" spans="1:9">
      <c r="A495" s="4" t="s">
        <v>1498</v>
      </c>
      <c r="B495" s="4" t="s">
        <v>1397</v>
      </c>
      <c r="D495" s="5" t="n">
        <v>61.95</v>
      </c>
      <c r="E495" s="5" t="n">
        <v>2.406</v>
      </c>
      <c r="F495" s="4" t="s">
        <v>263</v>
      </c>
      <c r="G495" s="4" t="s">
        <v>1499</v>
      </c>
      <c r="H495" s="4" t="s">
        <v>1500</v>
      </c>
      <c r="I495" s="6" t="s">
        <v>13</v>
      </c>
    </row>
    <row r="496" spans="1:9">
      <c r="A496" s="4" t="s">
        <v>1501</v>
      </c>
      <c r="B496" s="4" t="s">
        <v>1397</v>
      </c>
      <c r="F496" s="4" t="s">
        <v>263</v>
      </c>
      <c r="G496" s="4" t="s">
        <v>1502</v>
      </c>
      <c r="H496" s="4" t="s">
        <v>1503</v>
      </c>
      <c r="I496" s="6" t="s">
        <v>13</v>
      </c>
    </row>
    <row r="497" spans="1:9">
      <c r="A497" s="4" t="s">
        <v>1504</v>
      </c>
      <c r="B497" s="4" t="s">
        <v>1397</v>
      </c>
      <c r="F497" s="4" t="s">
        <v>263</v>
      </c>
      <c r="G497" s="4" t="s">
        <v>1505</v>
      </c>
      <c r="H497" s="4" t="s">
        <v>1506</v>
      </c>
      <c r="I497" s="6" t="s">
        <v>13</v>
      </c>
    </row>
    <row r="498" spans="1:9">
      <c r="A498" s="4" t="s">
        <v>1507</v>
      </c>
      <c r="B498" s="4" t="s">
        <v>1397</v>
      </c>
      <c r="D498" s="5" t="n">
        <v>41.53</v>
      </c>
      <c r="E498" s="5" t="n">
        <v>1.672</v>
      </c>
      <c r="F498" s="4" t="s">
        <v>263</v>
      </c>
      <c r="G498" s="4" t="s">
        <v>1508</v>
      </c>
      <c r="H498" s="4" t="s">
        <v>1509</v>
      </c>
      <c r="I498" s="6" t="s">
        <v>13</v>
      </c>
    </row>
    <row r="499" spans="1:9">
      <c r="A499" s="4" t="s">
        <v>1510</v>
      </c>
      <c r="B499" s="4" t="s">
        <v>1386</v>
      </c>
      <c r="D499" s="5" t="n">
        <v>7.9</v>
      </c>
      <c r="E499" s="5" t="n">
        <v>3.75</v>
      </c>
      <c r="F499" s="4" t="s">
        <v>263</v>
      </c>
      <c r="G499" s="4" t="s">
        <v>1511</v>
      </c>
      <c r="H499" s="4" t="s">
        <v>1512</v>
      </c>
      <c r="I499" s="6" t="s">
        <v>13</v>
      </c>
    </row>
    <row r="500" spans="1:9">
      <c r="A500" s="4" t="s">
        <v>1513</v>
      </c>
      <c r="B500" s="4" t="s">
        <v>1390</v>
      </c>
      <c r="D500" s="5" t="n">
        <v>8.88</v>
      </c>
      <c r="E500" s="5" t="n">
        <v>10</v>
      </c>
      <c r="F500" s="4" t="s">
        <v>263</v>
      </c>
      <c r="G500" s="4" t="s">
        <v>1514</v>
      </c>
      <c r="H500" s="4" t="s">
        <v>1515</v>
      </c>
      <c r="I500" s="6" t="s">
        <v>13</v>
      </c>
    </row>
    <row r="501" spans="1:9">
      <c r="A501" s="4" t="s">
        <v>1516</v>
      </c>
      <c r="B501" s="4" t="s">
        <v>1397</v>
      </c>
      <c r="D501" s="5" t="n">
        <v>23.99</v>
      </c>
      <c r="E501" s="5" t="n">
        <v>11.808</v>
      </c>
      <c r="F501" s="4" t="s">
        <v>263</v>
      </c>
      <c r="G501" s="4" t="s">
        <v>1517</v>
      </c>
      <c r="H501" s="4" t="s">
        <v>1518</v>
      </c>
      <c r="I501" s="6" t="s">
        <v>13</v>
      </c>
    </row>
    <row r="502" spans="1:9">
      <c r="A502" s="4" t="s">
        <v>1519</v>
      </c>
      <c r="B502" s="4" t="s">
        <v>1397</v>
      </c>
      <c r="D502" s="5" t="n">
        <v>14.11</v>
      </c>
      <c r="E502" s="5" t="n">
        <v>36</v>
      </c>
      <c r="F502" s="4" t="s">
        <v>263</v>
      </c>
      <c r="G502" s="4" t="s">
        <v>1520</v>
      </c>
      <c r="H502" s="4" t="s">
        <v>1521</v>
      </c>
      <c r="I502" s="6" t="s">
        <v>13</v>
      </c>
    </row>
    <row r="503" spans="1:9">
      <c r="A503" s="4" t="s">
        <v>1522</v>
      </c>
      <c r="B503" s="4" t="s">
        <v>1397</v>
      </c>
      <c r="D503" s="5" t="n">
        <v>31.71</v>
      </c>
      <c r="E503" s="5" t="n">
        <v>0.95</v>
      </c>
      <c r="F503" s="4" t="s">
        <v>263</v>
      </c>
      <c r="G503" s="4" t="s">
        <v>1523</v>
      </c>
      <c r="H503" s="4" t="s">
        <v>1524</v>
      </c>
      <c r="I503" s="6" t="s">
        <v>13</v>
      </c>
    </row>
    <row r="504" spans="1:9">
      <c r="A504" s="4" t="s">
        <v>1525</v>
      </c>
      <c r="B504" s="4" t="s">
        <v>1422</v>
      </c>
      <c r="D504" s="5" t="n">
        <v>25.7</v>
      </c>
      <c r="E504" s="5" t="n">
        <v>1.05</v>
      </c>
      <c r="F504" s="4" t="s">
        <v>263</v>
      </c>
      <c r="G504" s="4" t="s">
        <v>1526</v>
      </c>
      <c r="H504" s="4" t="s">
        <v>1527</v>
      </c>
      <c r="I504" s="6" t="s">
        <v>13</v>
      </c>
    </row>
    <row r="505" spans="1:9">
      <c r="A505" s="4" t="s">
        <v>1528</v>
      </c>
      <c r="B505" s="4" t="s">
        <v>1422</v>
      </c>
      <c r="F505" s="4" t="s">
        <v>263</v>
      </c>
      <c r="G505" s="4" t="s">
        <v>1529</v>
      </c>
      <c r="H505" s="4" t="s">
        <v>1530</v>
      </c>
      <c r="I505" s="6" t="s">
        <v>13</v>
      </c>
    </row>
    <row r="506" spans="1:9">
      <c r="A506" s="4" t="s">
        <v>1531</v>
      </c>
      <c r="B506" s="4" t="s">
        <v>1422</v>
      </c>
      <c r="F506" s="4" t="s">
        <v>263</v>
      </c>
      <c r="G506" s="4" t="s">
        <v>1532</v>
      </c>
      <c r="H506" s="4" t="s">
        <v>1533</v>
      </c>
      <c r="I506" s="6" t="s">
        <v>13</v>
      </c>
    </row>
    <row r="507" spans="1:9">
      <c r="A507" s="4" t="s">
        <v>1534</v>
      </c>
      <c r="B507" s="4" t="s">
        <v>1422</v>
      </c>
      <c r="D507" s="5" t="n">
        <v>3.88</v>
      </c>
      <c r="E507" s="5" t="n">
        <v>496.427</v>
      </c>
      <c r="F507" s="4" t="s">
        <v>263</v>
      </c>
      <c r="G507" s="4" t="s">
        <v>1535</v>
      </c>
      <c r="H507" s="4" t="s">
        <v>1536</v>
      </c>
      <c r="I507" s="6" t="s">
        <v>13</v>
      </c>
    </row>
    <row r="508" spans="1:9">
      <c r="A508" s="4" t="s">
        <v>1537</v>
      </c>
      <c r="B508" s="4" t="s">
        <v>1374</v>
      </c>
      <c r="F508" s="4" t="s">
        <v>263</v>
      </c>
      <c r="G508" s="4" t="s">
        <v>1538</v>
      </c>
      <c r="H508" s="4" t="s">
        <v>1539</v>
      </c>
      <c r="I508" s="6" t="s">
        <v>13</v>
      </c>
    </row>
    <row r="509" spans="1:9">
      <c r="A509" s="4" t="s">
        <v>1540</v>
      </c>
      <c r="B509" s="4" t="s">
        <v>1374</v>
      </c>
      <c r="F509" s="4" t="s">
        <v>263</v>
      </c>
      <c r="G509" s="4" t="s">
        <v>1541</v>
      </c>
      <c r="H509" s="4" t="s">
        <v>1542</v>
      </c>
      <c r="I509" s="6" t="s">
        <v>13</v>
      </c>
    </row>
    <row r="510" spans="1:9">
      <c r="A510" s="4" t="s">
        <v>1543</v>
      </c>
      <c r="B510" s="4" t="s">
        <v>1397</v>
      </c>
      <c r="E510" s="5" t="n">
        <v>-0.16</v>
      </c>
      <c r="F510" s="4" t="s">
        <v>263</v>
      </c>
      <c r="G510" s="4" t="s">
        <v>1544</v>
      </c>
      <c r="H510" s="4" t="s">
        <v>1545</v>
      </c>
      <c r="I510" s="6" t="s">
        <v>13</v>
      </c>
    </row>
    <row r="511" spans="1:9">
      <c r="A511" s="4" t="s">
        <v>1546</v>
      </c>
      <c r="B511" s="4" t="s">
        <v>1390</v>
      </c>
      <c r="D511" s="5" t="n">
        <v>28.11</v>
      </c>
      <c r="E511" s="5" t="n">
        <v>1</v>
      </c>
      <c r="F511" s="4" t="s">
        <v>263</v>
      </c>
      <c r="G511" s="4" t="s">
        <v>1547</v>
      </c>
      <c r="H511" s="4" t="s">
        <v>1548</v>
      </c>
      <c r="I511" s="6" t="s">
        <v>13</v>
      </c>
    </row>
    <row r="512" spans="1:9">
      <c r="A512" s="4" t="s">
        <v>1549</v>
      </c>
      <c r="B512" s="4" t="s">
        <v>1404</v>
      </c>
      <c r="D512" s="5" t="n">
        <v>51.8</v>
      </c>
      <c r="E512" s="5" t="n">
        <v>30</v>
      </c>
      <c r="F512" s="4" t="s">
        <v>263</v>
      </c>
      <c r="G512" s="4" t="s">
        <v>1550</v>
      </c>
      <c r="H512" s="4" t="s">
        <v>1551</v>
      </c>
      <c r="I512" s="6" t="s">
        <v>13</v>
      </c>
    </row>
    <row r="513" spans="1:9">
      <c r="A513" s="4" t="s">
        <v>1552</v>
      </c>
      <c r="B513" s="4" t="s">
        <v>1374</v>
      </c>
      <c r="D513" s="5" t="n">
        <v>4.23</v>
      </c>
      <c r="E513" s="5" t="n">
        <v>100</v>
      </c>
      <c r="F513" s="4" t="s">
        <v>263</v>
      </c>
      <c r="G513" s="4" t="s">
        <v>1553</v>
      </c>
      <c r="H513" s="4" t="s">
        <v>1554</v>
      </c>
      <c r="I513" s="6" t="s">
        <v>13</v>
      </c>
    </row>
    <row r="514" spans="1:9">
      <c r="A514" s="4" t="s">
        <v>1555</v>
      </c>
      <c r="B514" s="4" t="s">
        <v>1386</v>
      </c>
      <c r="F514" s="4" t="s">
        <v>263</v>
      </c>
      <c r="G514" s="4" t="s">
        <v>1556</v>
      </c>
      <c r="H514" s="4" t="s">
        <v>1557</v>
      </c>
      <c r="I514" s="6" t="s">
        <v>13</v>
      </c>
    </row>
    <row r="515" spans="1:9">
      <c r="A515" s="4" t="s">
        <v>1558</v>
      </c>
      <c r="B515" s="4" t="s">
        <v>1422</v>
      </c>
      <c r="D515" s="5" t="n">
        <v>4.92</v>
      </c>
      <c r="E515" s="5" t="n">
        <v>288</v>
      </c>
      <c r="F515" s="4" t="s">
        <v>10</v>
      </c>
      <c r="G515" s="4" t="s">
        <v>1559</v>
      </c>
      <c r="H515" s="4" t="s">
        <v>1560</v>
      </c>
      <c r="I515" s="6" t="s">
        <v>13</v>
      </c>
    </row>
    <row r="516" spans="1:9">
      <c r="A516" s="4" t="s">
        <v>1561</v>
      </c>
      <c r="B516" s="4" t="s">
        <v>1404</v>
      </c>
      <c r="D516" s="5" t="n">
        <v>15.7</v>
      </c>
      <c r="E516" s="5" t="n">
        <v>400</v>
      </c>
      <c r="F516" s="4" t="s">
        <v>263</v>
      </c>
      <c r="G516" s="4" t="s">
        <v>1562</v>
      </c>
      <c r="H516" s="4" t="s">
        <v>1563</v>
      </c>
      <c r="I516" s="6" t="s">
        <v>13</v>
      </c>
    </row>
    <row r="517" spans="1:9">
      <c r="A517" s="4" t="s">
        <v>1564</v>
      </c>
      <c r="B517" s="4" t="s">
        <v>1404</v>
      </c>
      <c r="F517" s="4" t="s">
        <v>263</v>
      </c>
      <c r="G517" s="4" t="s">
        <v>1565</v>
      </c>
      <c r="H517" s="4" t="s">
        <v>1566</v>
      </c>
      <c r="I517" s="6" t="s">
        <v>13</v>
      </c>
    </row>
    <row r="518" spans="1:9">
      <c r="A518" s="4" t="s">
        <v>1567</v>
      </c>
      <c r="B518" s="4" t="s">
        <v>262</v>
      </c>
      <c r="F518" s="4" t="s">
        <v>263</v>
      </c>
      <c r="G518" s="4" t="s">
        <v>1568</v>
      </c>
      <c r="H518" s="4" t="s">
        <v>1569</v>
      </c>
      <c r="I518" s="6" t="s">
        <v>13</v>
      </c>
    </row>
    <row r="519" spans="1:9">
      <c r="A519" s="4" t="s">
        <v>1570</v>
      </c>
      <c r="B519" s="4" t="s">
        <v>1422</v>
      </c>
      <c r="F519" s="4" t="s">
        <v>263</v>
      </c>
      <c r="G519" s="4" t="s">
        <v>1571</v>
      </c>
      <c r="H519" s="4" t="s">
        <v>1572</v>
      </c>
      <c r="I519" s="6" t="s">
        <v>13</v>
      </c>
    </row>
    <row r="520" spans="1:9">
      <c r="A520" s="4" t="s">
        <v>1573</v>
      </c>
      <c r="B520" s="4" t="s">
        <v>1422</v>
      </c>
      <c r="F520" s="4" t="s">
        <v>263</v>
      </c>
      <c r="G520" s="4" t="s">
        <v>1574</v>
      </c>
      <c r="H520" s="4" t="s">
        <v>1575</v>
      </c>
      <c r="I520" s="6" t="s">
        <v>13</v>
      </c>
    </row>
    <row r="521" spans="1:9">
      <c r="A521" s="4" t="s">
        <v>1576</v>
      </c>
      <c r="B521" s="4" t="s">
        <v>1408</v>
      </c>
      <c r="D521" s="5" t="n">
        <v>17.98</v>
      </c>
      <c r="E521" s="5" t="n">
        <v>232</v>
      </c>
      <c r="F521" s="4" t="s">
        <v>263</v>
      </c>
      <c r="G521" s="4" t="s">
        <v>1577</v>
      </c>
      <c r="H521" s="4" t="s">
        <v>1578</v>
      </c>
      <c r="I521" s="6" t="s">
        <v>13</v>
      </c>
    </row>
    <row r="522" spans="1:9">
      <c r="A522" s="4" t="s">
        <v>1579</v>
      </c>
      <c r="B522" s="4" t="s">
        <v>1397</v>
      </c>
      <c r="E522" s="5" t="n">
        <v>-2.15</v>
      </c>
      <c r="F522" s="4" t="s">
        <v>263</v>
      </c>
      <c r="G522" s="4" t="s">
        <v>1580</v>
      </c>
      <c r="H522" s="4" t="s">
        <v>1581</v>
      </c>
      <c r="I522" s="6" t="s">
        <v>13</v>
      </c>
    </row>
    <row r="523" spans="1:9">
      <c r="A523" s="4" t="s">
        <v>1582</v>
      </c>
      <c r="B523" s="4" t="s">
        <v>1418</v>
      </c>
      <c r="F523" s="4" t="s">
        <v>10</v>
      </c>
      <c r="G523" s="4" t="s">
        <v>1583</v>
      </c>
      <c r="H523" s="4" t="s">
        <v>1584</v>
      </c>
      <c r="I523" s="6" t="s">
        <v>13</v>
      </c>
    </row>
    <row r="524" spans="1:9">
      <c r="A524" s="4" t="s">
        <v>1585</v>
      </c>
      <c r="B524" s="4" t="s">
        <v>1386</v>
      </c>
      <c r="D524" s="5" t="n">
        <v>1.8</v>
      </c>
      <c r="E524" s="5" t="n">
        <v>700</v>
      </c>
      <c r="F524" s="4" t="s">
        <v>263</v>
      </c>
      <c r="G524" s="4" t="s">
        <v>1586</v>
      </c>
      <c r="H524" s="4" t="s">
        <v>1587</v>
      </c>
      <c r="I524" s="6" t="s">
        <v>13</v>
      </c>
    </row>
    <row r="525" spans="1:9">
      <c r="A525" s="4" t="s">
        <v>1588</v>
      </c>
      <c r="B525" s="4" t="s">
        <v>1589</v>
      </c>
      <c r="D525" s="5" t="n">
        <v>6.15</v>
      </c>
      <c r="E525" s="5" t="n">
        <v>190.705</v>
      </c>
      <c r="F525" s="4" t="s">
        <v>1382</v>
      </c>
      <c r="G525" s="4" t="s">
        <v>1590</v>
      </c>
      <c r="H525" s="4" t="s">
        <v>1591</v>
      </c>
      <c r="I525" s="6" t="s">
        <v>13</v>
      </c>
    </row>
    <row r="526" spans="1:9">
      <c r="A526" s="4" t="s">
        <v>1592</v>
      </c>
      <c r="B526" s="4" t="s">
        <v>1397</v>
      </c>
      <c r="D526" s="5" t="n">
        <v>15.79</v>
      </c>
      <c r="E526" s="5" t="n">
        <v>92.033</v>
      </c>
      <c r="F526" s="4" t="s">
        <v>263</v>
      </c>
      <c r="G526" s="4" t="s">
        <v>1593</v>
      </c>
      <c r="H526" s="4" t="s">
        <v>1594</v>
      </c>
      <c r="I526" s="6" t="s">
        <v>13</v>
      </c>
    </row>
    <row r="527" spans="1:9">
      <c r="A527" s="4">
        <f>="MP LEITE DE COCO "</f>
      </c>
      <c r="B527" s="4" t="s">
        <v>1422</v>
      </c>
      <c r="E527" s="5" t="n">
        <v>-0.026</v>
      </c>
      <c r="F527" s="4" t="s">
        <v>1382</v>
      </c>
      <c r="G527" s="4" t="s">
        <v>1595</v>
      </c>
      <c r="H527" s="4" t="s">
        <v>1596</v>
      </c>
      <c r="I527" s="6" t="s">
        <v>13</v>
      </c>
    </row>
    <row r="528" spans="1:9">
      <c r="A528" s="4">
        <f>="MP LEITE DESNATADO 1L "</f>
      </c>
      <c r="B528" s="4" t="s">
        <v>1589</v>
      </c>
      <c r="F528" s="4" t="s">
        <v>1382</v>
      </c>
      <c r="G528" s="4" t="s">
        <v>1597</v>
      </c>
      <c r="H528" s="4" t="s">
        <v>1598</v>
      </c>
      <c r="I528" s="6" t="s">
        <v>13</v>
      </c>
    </row>
    <row r="529" spans="1:9">
      <c r="A529" s="4" t="s">
        <v>1599</v>
      </c>
      <c r="B529" s="4" t="s">
        <v>1589</v>
      </c>
      <c r="D529" s="5" t="n">
        <v>35.9</v>
      </c>
      <c r="E529" s="5" t="n">
        <v>9.755</v>
      </c>
      <c r="F529" s="4" t="s">
        <v>263</v>
      </c>
      <c r="G529" s="4" t="s">
        <v>1600</v>
      </c>
      <c r="H529" s="4" t="s">
        <v>1601</v>
      </c>
      <c r="I529" s="6" t="s">
        <v>13</v>
      </c>
    </row>
    <row r="530" spans="1:9">
      <c r="A530" s="4">
        <f>="MP LEITE ZERO LACTOZE "</f>
      </c>
      <c r="B530" s="4" t="s">
        <v>1589</v>
      </c>
      <c r="F530" s="4" t="s">
        <v>1382</v>
      </c>
      <c r="G530" s="4" t="s">
        <v>1602</v>
      </c>
      <c r="H530" s="4" t="s">
        <v>1603</v>
      </c>
      <c r="I530" s="6" t="s">
        <v>13</v>
      </c>
    </row>
    <row r="531" spans="1:9">
      <c r="A531" s="4" t="s">
        <v>1604</v>
      </c>
      <c r="B531" s="4" t="s">
        <v>1386</v>
      </c>
      <c r="F531" s="4" t="s">
        <v>263</v>
      </c>
      <c r="G531" s="4" t="s">
        <v>1605</v>
      </c>
      <c r="H531" s="4" t="s">
        <v>1606</v>
      </c>
      <c r="I531" s="6" t="s">
        <v>13</v>
      </c>
    </row>
    <row r="532" spans="1:9">
      <c r="A532" s="4" t="s">
        <v>1607</v>
      </c>
      <c r="B532" s="4" t="s">
        <v>1418</v>
      </c>
      <c r="F532" s="4" t="s">
        <v>263</v>
      </c>
      <c r="G532" s="4" t="s">
        <v>1608</v>
      </c>
      <c r="H532" s="4" t="s">
        <v>1609</v>
      </c>
      <c r="I532" s="6" t="s">
        <v>13</v>
      </c>
    </row>
    <row r="533" spans="1:9">
      <c r="A533" s="4" t="s">
        <v>1610</v>
      </c>
      <c r="B533" s="4" t="s">
        <v>1611</v>
      </c>
      <c r="D533" s="5" t="n">
        <v>7.59</v>
      </c>
      <c r="E533" s="5" t="n">
        <v>30</v>
      </c>
      <c r="F533" s="4" t="s">
        <v>263</v>
      </c>
      <c r="G533" s="4" t="s">
        <v>1612</v>
      </c>
      <c r="H533" s="4" t="s">
        <v>1613</v>
      </c>
      <c r="I533" s="6" t="s">
        <v>13</v>
      </c>
    </row>
    <row r="534" spans="1:9">
      <c r="A534" s="4" t="s">
        <v>1614</v>
      </c>
      <c r="B534" s="4" t="s">
        <v>1615</v>
      </c>
      <c r="F534" s="4" t="s">
        <v>263</v>
      </c>
      <c r="G534" s="4" t="s">
        <v>1616</v>
      </c>
      <c r="H534" s="4" t="s">
        <v>1617</v>
      </c>
      <c r="I534" s="6" t="s">
        <v>13</v>
      </c>
    </row>
    <row r="535" spans="1:9">
      <c r="A535" s="4" t="s">
        <v>1618</v>
      </c>
      <c r="B535" s="4" t="s">
        <v>1426</v>
      </c>
      <c r="D535" s="5" t="n">
        <v>19.65</v>
      </c>
      <c r="E535" s="5" t="n">
        <v>11.2</v>
      </c>
      <c r="F535" s="4" t="s">
        <v>263</v>
      </c>
      <c r="G535" s="4" t="s">
        <v>1619</v>
      </c>
      <c r="H535" s="4" t="s">
        <v>1620</v>
      </c>
      <c r="I535" s="6" t="s">
        <v>13</v>
      </c>
    </row>
    <row r="536" spans="1:9">
      <c r="A536" s="4" t="s">
        <v>1621</v>
      </c>
      <c r="B536" s="4" t="s">
        <v>1386</v>
      </c>
      <c r="D536" s="5" t="n">
        <v>58.83</v>
      </c>
      <c r="E536" s="5" t="n">
        <v>0.51</v>
      </c>
      <c r="F536" s="4" t="s">
        <v>263</v>
      </c>
      <c r="G536" s="4" t="s">
        <v>1622</v>
      </c>
      <c r="H536" s="4" t="s">
        <v>1623</v>
      </c>
      <c r="I536" s="6" t="s">
        <v>13</v>
      </c>
    </row>
    <row r="537" spans="1:9">
      <c r="A537" s="4" t="s">
        <v>1624</v>
      </c>
      <c r="B537" s="4" t="s">
        <v>1386</v>
      </c>
      <c r="F537" s="4" t="s">
        <v>263</v>
      </c>
      <c r="G537" s="4" t="s">
        <v>1625</v>
      </c>
      <c r="H537" s="4" t="s">
        <v>1626</v>
      </c>
      <c r="I537" s="6" t="s">
        <v>13</v>
      </c>
    </row>
    <row r="538" spans="1:9">
      <c r="A538" s="4" t="s">
        <v>1627</v>
      </c>
      <c r="B538" s="4" t="s">
        <v>1422</v>
      </c>
      <c r="F538" s="4" t="s">
        <v>263</v>
      </c>
      <c r="G538" s="4" t="s">
        <v>1628</v>
      </c>
      <c r="H538" s="4" t="s">
        <v>1629</v>
      </c>
      <c r="I538" s="6" t="s">
        <v>13</v>
      </c>
    </row>
    <row r="539" spans="1:9">
      <c r="A539" s="4" t="s">
        <v>1630</v>
      </c>
      <c r="B539" s="4" t="s">
        <v>1408</v>
      </c>
      <c r="D539" s="5" t="n">
        <v>10.45</v>
      </c>
      <c r="E539" s="5" t="n">
        <v>134.129</v>
      </c>
      <c r="F539" s="4" t="s">
        <v>263</v>
      </c>
      <c r="G539" s="4" t="s">
        <v>1631</v>
      </c>
      <c r="H539" s="4" t="s">
        <v>1632</v>
      </c>
      <c r="I539" s="6" t="s">
        <v>13</v>
      </c>
    </row>
    <row r="540" spans="1:9">
      <c r="A540" s="4" t="s">
        <v>1633</v>
      </c>
      <c r="B540" s="4" t="s">
        <v>1426</v>
      </c>
      <c r="F540" s="4" t="s">
        <v>263</v>
      </c>
      <c r="G540" s="4" t="s">
        <v>1634</v>
      </c>
      <c r="H540" s="4" t="s">
        <v>1635</v>
      </c>
      <c r="I540" s="6" t="s">
        <v>13</v>
      </c>
    </row>
    <row r="541" spans="1:9">
      <c r="A541" s="4" t="s">
        <v>1636</v>
      </c>
      <c r="B541" s="4" t="s">
        <v>1418</v>
      </c>
      <c r="D541" s="5" t="n">
        <v>25.49</v>
      </c>
      <c r="E541" s="5" t="n">
        <v>2.03</v>
      </c>
      <c r="F541" s="4" t="s">
        <v>263</v>
      </c>
      <c r="G541" s="4" t="s">
        <v>1637</v>
      </c>
      <c r="H541" s="4" t="s">
        <v>1638</v>
      </c>
      <c r="I541" s="6" t="s">
        <v>13</v>
      </c>
    </row>
    <row r="542" spans="1:9">
      <c r="A542" s="4" t="s">
        <v>1639</v>
      </c>
      <c r="B542" s="4" t="s">
        <v>1408</v>
      </c>
      <c r="D542" s="5" t="n">
        <v>9.07</v>
      </c>
      <c r="E542" s="5" t="n">
        <v>10.788</v>
      </c>
      <c r="F542" s="4" t="s">
        <v>1382</v>
      </c>
      <c r="G542" s="4" t="s">
        <v>1640</v>
      </c>
      <c r="H542" s="4" t="s">
        <v>1641</v>
      </c>
      <c r="I542" s="6" t="s">
        <v>13</v>
      </c>
    </row>
    <row r="543" spans="1:9">
      <c r="A543" s="4" t="s">
        <v>1642</v>
      </c>
      <c r="B543" s="4" t="s">
        <v>1643</v>
      </c>
      <c r="D543" s="5" t="n">
        <v>10.06</v>
      </c>
      <c r="E543" s="5" t="n">
        <v>143.37</v>
      </c>
      <c r="F543" s="4" t="s">
        <v>263</v>
      </c>
      <c r="G543" s="4" t="s">
        <v>1644</v>
      </c>
      <c r="H543" s="4" t="s">
        <v>1645</v>
      </c>
      <c r="I543" s="6" t="s">
        <v>13</v>
      </c>
    </row>
    <row r="544" spans="1:9">
      <c r="A544" s="4" t="s">
        <v>1646</v>
      </c>
      <c r="B544" s="4" t="s">
        <v>1422</v>
      </c>
      <c r="D544" s="5" t="n">
        <v>0.76</v>
      </c>
      <c r="E544" s="5" t="n">
        <v>429</v>
      </c>
      <c r="F544" s="4" t="s">
        <v>10</v>
      </c>
      <c r="G544" s="4" t="s">
        <v>1647</v>
      </c>
      <c r="H544" s="4" t="s">
        <v>1648</v>
      </c>
      <c r="I544" s="6" t="s">
        <v>13</v>
      </c>
    </row>
    <row r="545" spans="1:9">
      <c r="A545" s="4" t="s">
        <v>1649</v>
      </c>
      <c r="B545" s="4" t="s">
        <v>1422</v>
      </c>
      <c r="D545" s="5" t="n">
        <v>0.78</v>
      </c>
      <c r="E545" s="5" t="n">
        <v>126</v>
      </c>
      <c r="F545" s="4" t="s">
        <v>10</v>
      </c>
      <c r="G545" s="4" t="s">
        <v>1650</v>
      </c>
      <c r="H545" s="4" t="s">
        <v>1651</v>
      </c>
      <c r="I545" s="6" t="s">
        <v>13</v>
      </c>
    </row>
    <row r="546" spans="1:9">
      <c r="A546" s="4" t="s">
        <v>1652</v>
      </c>
      <c r="B546" s="4" t="s">
        <v>1422</v>
      </c>
      <c r="D546" s="5" t="n">
        <v>2.99</v>
      </c>
      <c r="E546" s="5" t="n">
        <v>650</v>
      </c>
      <c r="F546" s="4" t="s">
        <v>10</v>
      </c>
      <c r="G546" s="4" t="s">
        <v>1653</v>
      </c>
      <c r="H546" s="4" t="s">
        <v>1654</v>
      </c>
      <c r="I546" s="6" t="s">
        <v>13</v>
      </c>
    </row>
    <row r="547" spans="1:9">
      <c r="A547" s="4" t="s">
        <v>1655</v>
      </c>
      <c r="B547" s="4" t="s">
        <v>1422</v>
      </c>
      <c r="E547" s="5" t="n">
        <v>1</v>
      </c>
      <c r="F547" s="4" t="s">
        <v>10</v>
      </c>
      <c r="G547" s="4" t="s">
        <v>1656</v>
      </c>
      <c r="H547" s="4" t="s">
        <v>1657</v>
      </c>
      <c r="I547" s="6" t="s">
        <v>13</v>
      </c>
    </row>
    <row r="548" spans="1:9">
      <c r="A548" s="4">
        <f>="MP PEITO DE PERU "</f>
      </c>
      <c r="B548" s="4" t="s">
        <v>1418</v>
      </c>
      <c r="E548" s="5" t="n">
        <v>-1.1</v>
      </c>
      <c r="F548" s="4" t="s">
        <v>263</v>
      </c>
      <c r="G548" s="4" t="s">
        <v>1658</v>
      </c>
      <c r="H548" s="4" t="s">
        <v>1659</v>
      </c>
      <c r="I548" s="6" t="s">
        <v>13</v>
      </c>
    </row>
    <row r="549" spans="1:9">
      <c r="A549" s="4" t="s">
        <v>1660</v>
      </c>
      <c r="B549" s="4" t="s">
        <v>1390</v>
      </c>
      <c r="D549" s="5" t="n">
        <v>73.98</v>
      </c>
      <c r="E549" s="5" t="n">
        <v>2</v>
      </c>
      <c r="F549" s="4" t="s">
        <v>263</v>
      </c>
      <c r="G549" s="4" t="s">
        <v>1661</v>
      </c>
      <c r="H549" s="4" t="s">
        <v>1662</v>
      </c>
      <c r="I549" s="6" t="s">
        <v>13</v>
      </c>
    </row>
    <row r="550" spans="1:9">
      <c r="A550" s="4" t="s">
        <v>1663</v>
      </c>
      <c r="B550" s="4" t="s">
        <v>1390</v>
      </c>
      <c r="D550" s="5" t="n">
        <v>30</v>
      </c>
      <c r="E550" s="5" t="n">
        <v>0.5</v>
      </c>
      <c r="F550" s="4" t="s">
        <v>263</v>
      </c>
      <c r="G550" s="4" t="s">
        <v>1664</v>
      </c>
      <c r="H550" s="4" t="s">
        <v>1665</v>
      </c>
      <c r="I550" s="6" t="s">
        <v>13</v>
      </c>
    </row>
    <row r="551" spans="1:9">
      <c r="A551" s="4" t="s">
        <v>1666</v>
      </c>
      <c r="B551" s="4" t="s">
        <v>1390</v>
      </c>
      <c r="D551" s="5" t="n">
        <v>80</v>
      </c>
      <c r="E551" s="5" t="n">
        <v>1</v>
      </c>
      <c r="F551" s="4" t="s">
        <v>263</v>
      </c>
      <c r="G551" s="4" t="s">
        <v>1667</v>
      </c>
      <c r="H551" s="4" t="s">
        <v>1668</v>
      </c>
      <c r="I551" s="6" t="s">
        <v>13</v>
      </c>
    </row>
    <row r="552" spans="1:9">
      <c r="A552" s="4" t="s">
        <v>1669</v>
      </c>
      <c r="B552" s="4" t="s">
        <v>1386</v>
      </c>
      <c r="D552" s="5" t="n">
        <v>7.68</v>
      </c>
      <c r="E552" s="5" t="n">
        <v>17</v>
      </c>
      <c r="F552" s="4" t="s">
        <v>263</v>
      </c>
      <c r="G552" s="4" t="s">
        <v>1670</v>
      </c>
      <c r="H552" s="4" t="s">
        <v>1671</v>
      </c>
      <c r="I552" s="6" t="s">
        <v>13</v>
      </c>
    </row>
    <row r="553" spans="1:9">
      <c r="A553" s="4" t="s">
        <v>1672</v>
      </c>
      <c r="B553" s="4" t="s">
        <v>1397</v>
      </c>
      <c r="F553" s="4" t="s">
        <v>263</v>
      </c>
      <c r="G553" s="4" t="s">
        <v>1673</v>
      </c>
      <c r="H553" s="4" t="s">
        <v>1674</v>
      </c>
      <c r="I553" s="6" t="s">
        <v>13</v>
      </c>
    </row>
    <row r="554" spans="1:9">
      <c r="A554" s="4" t="s">
        <v>1675</v>
      </c>
      <c r="B554" s="4" t="s">
        <v>1418</v>
      </c>
      <c r="D554" s="5" t="n">
        <v>27.24</v>
      </c>
      <c r="E554" s="5" t="n">
        <v>11.266</v>
      </c>
      <c r="F554" s="4" t="s">
        <v>263</v>
      </c>
      <c r="G554" s="4" t="s">
        <v>1676</v>
      </c>
      <c r="H554" s="4" t="s">
        <v>1677</v>
      </c>
      <c r="I554" s="6" t="s">
        <v>13</v>
      </c>
    </row>
    <row r="555" spans="1:9">
      <c r="A555" s="4" t="s">
        <v>1678</v>
      </c>
      <c r="B555" s="4" t="s">
        <v>1679</v>
      </c>
      <c r="F555" s="4" t="s">
        <v>263</v>
      </c>
      <c r="G555" s="4" t="s">
        <v>1680</v>
      </c>
      <c r="H555" s="4" t="s">
        <v>1681</v>
      </c>
      <c r="I555" s="6" t="s">
        <v>13</v>
      </c>
    </row>
    <row r="556" spans="1:9">
      <c r="A556" s="4" t="s">
        <v>1682</v>
      </c>
      <c r="B556" s="4" t="s">
        <v>1679</v>
      </c>
      <c r="D556" s="5" t="n">
        <v>71.06</v>
      </c>
      <c r="E556" s="5" t="n">
        <v>0.892</v>
      </c>
      <c r="F556" s="4" t="s">
        <v>263</v>
      </c>
      <c r="G556" s="4" t="s">
        <v>1683</v>
      </c>
      <c r="H556" s="4" t="s">
        <v>1684</v>
      </c>
      <c r="I556" s="6" t="s">
        <v>13</v>
      </c>
    </row>
    <row r="557" spans="1:9">
      <c r="A557" s="4" t="s">
        <v>1685</v>
      </c>
      <c r="B557" s="4" t="s">
        <v>1679</v>
      </c>
      <c r="D557" s="5" t="n">
        <v>46.99</v>
      </c>
      <c r="E557" s="5" t="n">
        <v>26.633</v>
      </c>
      <c r="F557" s="4" t="s">
        <v>263</v>
      </c>
      <c r="G557" s="4" t="s">
        <v>1686</v>
      </c>
      <c r="H557" s="4" t="s">
        <v>1687</v>
      </c>
      <c r="I557" s="6" t="s">
        <v>13</v>
      </c>
    </row>
    <row r="558" spans="1:9">
      <c r="A558" s="4">
        <f>="MP QUEIJO RALADO "</f>
      </c>
      <c r="B558" s="4" t="s">
        <v>1679</v>
      </c>
      <c r="D558" s="5" t="n">
        <v>77.95</v>
      </c>
      <c r="E558" s="5" t="n">
        <v>-2.65</v>
      </c>
      <c r="F558" s="4" t="s">
        <v>263</v>
      </c>
      <c r="G558" s="4" t="s">
        <v>1688</v>
      </c>
      <c r="H558" s="4" t="s">
        <v>1689</v>
      </c>
      <c r="I558" s="6" t="s">
        <v>13</v>
      </c>
    </row>
    <row r="559" spans="1:9">
      <c r="A559" s="4" t="s">
        <v>1690</v>
      </c>
      <c r="B559" s="4" t="s">
        <v>1589</v>
      </c>
      <c r="D559" s="5" t="n">
        <v>34.1</v>
      </c>
      <c r="E559" s="5" t="n">
        <v>90</v>
      </c>
      <c r="F559" s="4" t="s">
        <v>263</v>
      </c>
      <c r="G559" s="4" t="s">
        <v>1691</v>
      </c>
      <c r="H559" s="4" t="s">
        <v>1692</v>
      </c>
      <c r="I559" s="6" t="s">
        <v>13</v>
      </c>
    </row>
    <row r="560" spans="1:9">
      <c r="A560" s="4" t="s">
        <v>1693</v>
      </c>
      <c r="B560" s="4" t="s">
        <v>1589</v>
      </c>
      <c r="D560" s="5" t="n">
        <v>35.67</v>
      </c>
      <c r="E560" s="5" t="n">
        <v>75</v>
      </c>
      <c r="F560" s="4" t="s">
        <v>263</v>
      </c>
      <c r="G560" s="4" t="s">
        <v>1694</v>
      </c>
      <c r="H560" s="4" t="s">
        <v>1695</v>
      </c>
      <c r="I560" s="6" t="s">
        <v>13</v>
      </c>
    </row>
    <row r="561" spans="1:9">
      <c r="A561" s="4" t="s">
        <v>1696</v>
      </c>
      <c r="B561" s="4" t="s">
        <v>1390</v>
      </c>
      <c r="F561" s="4" t="s">
        <v>263</v>
      </c>
      <c r="G561" s="4" t="s">
        <v>1697</v>
      </c>
      <c r="H561" s="4" t="s">
        <v>1698</v>
      </c>
      <c r="I561" s="6" t="s">
        <v>13</v>
      </c>
    </row>
    <row r="562" spans="1:9">
      <c r="A562" s="4" t="s">
        <v>1699</v>
      </c>
      <c r="B562" s="4" t="s">
        <v>1418</v>
      </c>
      <c r="D562" s="5" t="n">
        <v>9.44</v>
      </c>
      <c r="E562" s="5" t="n">
        <v>20</v>
      </c>
      <c r="F562" s="4" t="s">
        <v>263</v>
      </c>
      <c r="G562" s="4" t="s">
        <v>1700</v>
      </c>
      <c r="H562" s="4" t="s">
        <v>1701</v>
      </c>
      <c r="I562" s="6" t="s">
        <v>13</v>
      </c>
    </row>
    <row r="563" spans="1:9">
      <c r="A563" s="4" t="s">
        <v>1702</v>
      </c>
      <c r="B563" s="4" t="s">
        <v>1390</v>
      </c>
      <c r="F563" s="4" t="s">
        <v>263</v>
      </c>
      <c r="G563" s="4" t="s">
        <v>1703</v>
      </c>
      <c r="H563" s="4" t="s">
        <v>1704</v>
      </c>
      <c r="I563" s="6" t="s">
        <v>13</v>
      </c>
    </row>
    <row r="564" spans="1:9">
      <c r="A564" s="4" t="s">
        <v>1705</v>
      </c>
      <c r="B564" s="4" t="s">
        <v>1386</v>
      </c>
      <c r="D564" s="5" t="n">
        <v>8.5</v>
      </c>
      <c r="E564" s="5" t="n">
        <v>119.075</v>
      </c>
      <c r="F564" s="4" t="s">
        <v>263</v>
      </c>
      <c r="G564" s="4" t="s">
        <v>1706</v>
      </c>
      <c r="H564" s="4" t="s">
        <v>1707</v>
      </c>
      <c r="I564" s="6" t="s">
        <v>13</v>
      </c>
    </row>
    <row r="565" spans="1:9">
      <c r="A565" s="4" t="s">
        <v>1708</v>
      </c>
      <c r="B565" s="4" t="s">
        <v>1709</v>
      </c>
      <c r="C565" s="5" t="n">
        <v>6.88</v>
      </c>
      <c r="D565" s="5" t="n">
        <v>3.44</v>
      </c>
      <c r="E565" s="5" t="n">
        <v>60</v>
      </c>
      <c r="F565" s="4" t="s">
        <v>10</v>
      </c>
      <c r="G565" s="4" t="s">
        <v>1710</v>
      </c>
      <c r="H565" s="4" t="s">
        <v>1711</v>
      </c>
      <c r="I565" s="6" t="s">
        <v>13</v>
      </c>
    </row>
    <row r="566" spans="1:9">
      <c r="A566" s="4" t="s">
        <v>1712</v>
      </c>
      <c r="B566" s="4" t="s">
        <v>1709</v>
      </c>
      <c r="C566" s="5" t="n">
        <v>15.38</v>
      </c>
      <c r="D566" s="5" t="n">
        <v>7.69</v>
      </c>
      <c r="E566" s="5" t="n">
        <v>24</v>
      </c>
      <c r="F566" s="4" t="s">
        <v>10</v>
      </c>
      <c r="G566" s="4" t="s">
        <v>1713</v>
      </c>
      <c r="H566" s="4" t="s">
        <v>1714</v>
      </c>
      <c r="I566" s="6" t="s">
        <v>13</v>
      </c>
    </row>
    <row r="567" spans="1:9">
      <c r="A567" s="4" t="s">
        <v>1715</v>
      </c>
      <c r="B567" s="4" t="s">
        <v>1709</v>
      </c>
      <c r="C567" s="5" t="n">
        <v>19.36</v>
      </c>
      <c r="D567" s="5" t="n">
        <v>9.68</v>
      </c>
      <c r="E567" s="5" t="n">
        <v>6</v>
      </c>
      <c r="F567" s="4" t="s">
        <v>10</v>
      </c>
      <c r="G567" s="4" t="s">
        <v>1716</v>
      </c>
      <c r="H567" s="4" t="s">
        <v>1717</v>
      </c>
      <c r="I567" s="6" t="s">
        <v>13</v>
      </c>
    </row>
    <row r="568" spans="1:9">
      <c r="A568" s="4" t="s">
        <v>1718</v>
      </c>
      <c r="B568" s="4" t="s">
        <v>262</v>
      </c>
      <c r="C568" s="5" t="n">
        <v>59.38</v>
      </c>
      <c r="D568" s="5" t="n">
        <v>29.69</v>
      </c>
      <c r="E568" s="5" t="n">
        <v>4.4</v>
      </c>
      <c r="F568" s="4" t="s">
        <v>263</v>
      </c>
      <c r="G568" s="4" t="s">
        <v>1719</v>
      </c>
      <c r="H568" s="4" t="s">
        <v>1720</v>
      </c>
      <c r="I568" s="6" t="s">
        <v>13</v>
      </c>
    </row>
    <row r="569" spans="1:9">
      <c r="A569" s="4" t="s">
        <v>1721</v>
      </c>
      <c r="B569" s="4" t="s">
        <v>262</v>
      </c>
      <c r="C569" s="5" t="n">
        <v>11.58</v>
      </c>
      <c r="D569" s="5" t="n">
        <v>5.79</v>
      </c>
      <c r="E569" s="5" t="n">
        <v>60</v>
      </c>
      <c r="F569" s="4" t="s">
        <v>10</v>
      </c>
      <c r="G569" s="4" t="s">
        <v>1722</v>
      </c>
      <c r="H569" s="4" t="s">
        <v>1723</v>
      </c>
      <c r="I569" s="6" t="s">
        <v>13</v>
      </c>
    </row>
    <row r="570" spans="1:9">
      <c r="A570" s="4" t="s">
        <v>1724</v>
      </c>
      <c r="B570" s="4" t="s">
        <v>1725</v>
      </c>
      <c r="C570" s="5" t="n">
        <v>38.14</v>
      </c>
      <c r="D570" s="5" t="n">
        <v>19.07</v>
      </c>
      <c r="E570" s="5" t="n">
        <v>2</v>
      </c>
      <c r="F570" s="4" t="s">
        <v>1726</v>
      </c>
      <c r="G570" s="4" t="s">
        <v>1727</v>
      </c>
      <c r="H570" s="4" t="s">
        <v>1728</v>
      </c>
      <c r="I570" s="6" t="s">
        <v>13</v>
      </c>
    </row>
    <row r="571" spans="1:9">
      <c r="A571" s="4" t="s">
        <v>1729</v>
      </c>
      <c r="B571" s="4" t="s">
        <v>1730</v>
      </c>
      <c r="C571" s="5" t="n">
        <v>4.98</v>
      </c>
      <c r="D571" s="5" t="n">
        <v>2.49</v>
      </c>
      <c r="E571" s="5" t="n">
        <v>100</v>
      </c>
      <c r="F571" s="4" t="s">
        <v>1731</v>
      </c>
      <c r="G571" s="4" t="s">
        <v>1732</v>
      </c>
      <c r="H571" s="4" t="s">
        <v>1733</v>
      </c>
      <c r="I571" s="6" t="s">
        <v>13</v>
      </c>
    </row>
    <row r="572" spans="1:9">
      <c r="A572" s="4" t="s">
        <v>1734</v>
      </c>
      <c r="B572" s="4" t="s">
        <v>1730</v>
      </c>
      <c r="C572" s="5" t="n">
        <v>10.5</v>
      </c>
      <c r="D572" s="5" t="n">
        <v>5.25</v>
      </c>
      <c r="E572" s="5" t="n">
        <v>25</v>
      </c>
      <c r="F572" s="4" t="s">
        <v>1726</v>
      </c>
      <c r="G572" s="4" t="s">
        <v>1735</v>
      </c>
      <c r="H572" s="4" t="s">
        <v>1736</v>
      </c>
      <c r="I572" s="6" t="s">
        <v>13</v>
      </c>
    </row>
    <row r="573" spans="1:9">
      <c r="A573" s="4" t="s">
        <v>1737</v>
      </c>
      <c r="B573" s="4" t="s">
        <v>1730</v>
      </c>
      <c r="C573" s="5" t="n">
        <v>22.5</v>
      </c>
      <c r="D573" s="5" t="n">
        <v>11.25</v>
      </c>
      <c r="E573" s="5" t="n">
        <v>20</v>
      </c>
      <c r="F573" s="4" t="s">
        <v>1726</v>
      </c>
      <c r="G573" s="4" t="s">
        <v>1738</v>
      </c>
      <c r="H573" s="4" t="s">
        <v>1739</v>
      </c>
      <c r="I573" s="6" t="s">
        <v>13</v>
      </c>
    </row>
    <row r="574" spans="1:9">
      <c r="A574" s="4" t="s">
        <v>1740</v>
      </c>
      <c r="B574" s="4" t="s">
        <v>1709</v>
      </c>
      <c r="C574" s="5" t="n">
        <v>84.58</v>
      </c>
      <c r="D574" s="5" t="n">
        <v>42.29</v>
      </c>
      <c r="E574" s="5" t="n">
        <v>2</v>
      </c>
      <c r="F574" s="4" t="s">
        <v>10</v>
      </c>
      <c r="G574" s="4" t="s">
        <v>1741</v>
      </c>
      <c r="H574" s="4" t="s">
        <v>1742</v>
      </c>
      <c r="I574" s="6" t="s">
        <v>13</v>
      </c>
    </row>
    <row r="575" spans="1:9">
      <c r="A575" s="4" t="s">
        <v>1743</v>
      </c>
      <c r="B575" s="4" t="s">
        <v>1709</v>
      </c>
      <c r="C575" s="5" t="n">
        <v>4.28</v>
      </c>
      <c r="D575" s="5" t="n">
        <v>2.29</v>
      </c>
      <c r="E575" s="5" t="n">
        <v>74</v>
      </c>
      <c r="F575" s="4" t="s">
        <v>10</v>
      </c>
      <c r="G575" s="4" t="s">
        <v>1744</v>
      </c>
      <c r="H575" s="4" t="s">
        <v>1745</v>
      </c>
      <c r="I575" s="6" t="s">
        <v>13</v>
      </c>
    </row>
    <row r="576" spans="1:9">
      <c r="A576" s="4" t="s">
        <v>1746</v>
      </c>
      <c r="B576" s="4">
        <f>="(3) MT  -  MATERIAIS|(3.1) MT | EMBALAGENS "</f>
      </c>
      <c r="E576" s="5" t="n">
        <v>-131</v>
      </c>
      <c r="F576" s="4" t="s">
        <v>10</v>
      </c>
      <c r="G576" s="4" t="s">
        <v>1747</v>
      </c>
      <c r="H576" s="4" t="s">
        <v>1748</v>
      </c>
      <c r="I576" s="6" t="s">
        <v>13</v>
      </c>
    </row>
    <row r="577" spans="1:9">
      <c r="A577" s="4" t="s">
        <v>1749</v>
      </c>
      <c r="B577" s="4">
        <f>="(3) MT  -  MATERIAIS|(3.1) MT | EMBALAGENS "</f>
      </c>
      <c r="C577" s="5" t="n">
        <v>0.84</v>
      </c>
      <c r="D577" s="5" t="n">
        <v>0.42</v>
      </c>
      <c r="E577" s="5" t="n">
        <v>200</v>
      </c>
      <c r="F577" s="4" t="s">
        <v>10</v>
      </c>
      <c r="G577" s="4" t="s">
        <v>1750</v>
      </c>
      <c r="H577" s="4" t="s">
        <v>1751</v>
      </c>
      <c r="I577" s="6" t="s">
        <v>13</v>
      </c>
    </row>
    <row r="578" spans="1:9">
      <c r="A578" s="4" t="s">
        <v>1752</v>
      </c>
      <c r="B578" s="4">
        <f>="(3) MT  -  MATERIAIS|(3.1) MT | EMBALAGENS "</f>
      </c>
      <c r="C578" s="5" t="n">
        <v>0.5</v>
      </c>
      <c r="D578" s="5" t="n">
        <v>0.25</v>
      </c>
      <c r="E578" s="5" t="n">
        <v>100</v>
      </c>
      <c r="F578" s="4" t="s">
        <v>10</v>
      </c>
      <c r="G578" s="4" t="s">
        <v>1753</v>
      </c>
      <c r="H578" s="4" t="s">
        <v>1754</v>
      </c>
      <c r="I578" s="6" t="s">
        <v>13</v>
      </c>
    </row>
    <row r="579" spans="1:9">
      <c r="A579" s="4" t="s">
        <v>1755</v>
      </c>
      <c r="B579" s="4" t="s">
        <v>262</v>
      </c>
      <c r="C579" s="5" t="n">
        <v>159.6</v>
      </c>
      <c r="D579" s="5" t="n">
        <v>79.8</v>
      </c>
      <c r="E579" s="5" t="n">
        <v>4</v>
      </c>
      <c r="F579" s="4" t="s">
        <v>1283</v>
      </c>
      <c r="G579" s="4" t="s">
        <v>1756</v>
      </c>
      <c r="H579" s="4" t="s">
        <v>1757</v>
      </c>
      <c r="I579" s="6" t="s">
        <v>13</v>
      </c>
    </row>
    <row r="580" spans="1:9">
      <c r="A580" s="4" t="s">
        <v>1758</v>
      </c>
      <c r="B580" s="4" t="s">
        <v>1709</v>
      </c>
      <c r="C580" s="5" t="n">
        <v>3.62</v>
      </c>
      <c r="D580" s="5" t="n">
        <v>1.81</v>
      </c>
      <c r="E580" s="5" t="n">
        <v>20</v>
      </c>
      <c r="F580" s="4" t="s">
        <v>10</v>
      </c>
      <c r="G580" s="4" t="s">
        <v>1759</v>
      </c>
      <c r="H580" s="4" t="s">
        <v>1760</v>
      </c>
      <c r="I580" s="6" t="s">
        <v>13</v>
      </c>
    </row>
    <row r="581" spans="1:9">
      <c r="A581" s="4" t="s">
        <v>1761</v>
      </c>
      <c r="B581" s="4" t="s">
        <v>1709</v>
      </c>
      <c r="C581" s="5" t="n">
        <v>1.8</v>
      </c>
      <c r="D581" s="5" t="n">
        <v>0.9</v>
      </c>
      <c r="E581" s="5" t="n">
        <v>30</v>
      </c>
      <c r="F581" s="4" t="s">
        <v>10</v>
      </c>
      <c r="G581" s="4" t="s">
        <v>1762</v>
      </c>
      <c r="H581" s="4" t="s">
        <v>1763</v>
      </c>
      <c r="I581" s="6" t="s">
        <v>13</v>
      </c>
    </row>
    <row r="582" spans="1:9">
      <c r="A582" s="4" t="s">
        <v>1764</v>
      </c>
      <c r="B582" s="4" t="s">
        <v>1765</v>
      </c>
      <c r="C582" s="5" t="n">
        <v>77.22</v>
      </c>
      <c r="D582" s="5" t="n">
        <v>38.61</v>
      </c>
      <c r="E582" s="5" t="n">
        <v>1</v>
      </c>
      <c r="F582" s="4" t="s">
        <v>1726</v>
      </c>
      <c r="G582" s="4" t="s">
        <v>1766</v>
      </c>
      <c r="H582" s="4" t="s">
        <v>1767</v>
      </c>
      <c r="I582" s="6" t="s">
        <v>13</v>
      </c>
    </row>
    <row r="583" spans="1:9">
      <c r="A583" s="4" t="s">
        <v>1768</v>
      </c>
      <c r="B583" s="4" t="s">
        <v>1709</v>
      </c>
      <c r="C583" s="5" t="n">
        <v>238.26</v>
      </c>
      <c r="D583" s="5" t="n">
        <v>119.13</v>
      </c>
      <c r="E583" s="5" t="n">
        <v>1</v>
      </c>
      <c r="F583" s="4" t="s">
        <v>10</v>
      </c>
      <c r="G583" s="4" t="s">
        <v>1769</v>
      </c>
      <c r="H583" s="4" t="s">
        <v>1770</v>
      </c>
      <c r="I583" s="6" t="s">
        <v>13</v>
      </c>
    </row>
    <row r="584" spans="1:9">
      <c r="A584" s="4" t="s">
        <v>1771</v>
      </c>
      <c r="B584" s="4" t="s">
        <v>1725</v>
      </c>
      <c r="C584" s="5" t="n">
        <v>38.14</v>
      </c>
      <c r="D584" s="5" t="n">
        <v>19.07</v>
      </c>
      <c r="E584" s="5" t="n">
        <v>1</v>
      </c>
      <c r="F584" s="4" t="s">
        <v>1726</v>
      </c>
      <c r="G584" s="4" t="s">
        <v>1772</v>
      </c>
      <c r="H584" s="4" t="s">
        <v>1773</v>
      </c>
      <c r="I584" s="6" t="s">
        <v>13</v>
      </c>
    </row>
    <row r="585" spans="1:9">
      <c r="A585" s="4" t="s">
        <v>1774</v>
      </c>
      <c r="B585" s="4">
        <f>="(3) MT  -  MATERIAIS|(3.1) MT | EMBALAGENS "</f>
      </c>
      <c r="F585" s="4" t="s">
        <v>10</v>
      </c>
      <c r="G585" s="4" t="s">
        <v>1775</v>
      </c>
      <c r="H585" s="4" t="s">
        <v>1776</v>
      </c>
      <c r="I585" s="6" t="s">
        <v>13</v>
      </c>
    </row>
    <row r="586" spans="1:9">
      <c r="A586" s="4" t="s">
        <v>1777</v>
      </c>
      <c r="B586" s="4">
        <f>="(3) MT  -  MATERIAIS|(3.1) MT | EMBALAGENS "</f>
      </c>
      <c r="D586" s="5" t="n">
        <v>1.1</v>
      </c>
      <c r="E586" s="5" t="n">
        <v>200</v>
      </c>
      <c r="F586" s="4" t="s">
        <v>10</v>
      </c>
      <c r="G586" s="4" t="s">
        <v>1778</v>
      </c>
      <c r="H586" s="4" t="s">
        <v>1779</v>
      </c>
      <c r="I586" s="6" t="s">
        <v>13</v>
      </c>
    </row>
    <row r="587" spans="1:9">
      <c r="A587" s="4" t="s">
        <v>1780</v>
      </c>
      <c r="B587" s="4" t="s">
        <v>262</v>
      </c>
      <c r="C587" s="5" t="n">
        <v>14.94</v>
      </c>
      <c r="D587" s="5" t="n">
        <v>7.47</v>
      </c>
      <c r="E587" s="5" t="n">
        <v>207</v>
      </c>
      <c r="F587" s="4" t="s">
        <v>263</v>
      </c>
      <c r="G587" s="4" t="s">
        <v>1781</v>
      </c>
      <c r="H587" s="4" t="s">
        <v>1782</v>
      </c>
      <c r="I587" s="6" t="s">
        <v>13</v>
      </c>
    </row>
    <row r="588" spans="1:9">
      <c r="A588" s="4" t="s">
        <v>1783</v>
      </c>
      <c r="B588" s="4" t="s">
        <v>262</v>
      </c>
      <c r="C588" s="5" t="n">
        <v>2.64</v>
      </c>
      <c r="D588" s="5" t="n">
        <v>1.32</v>
      </c>
      <c r="E588" s="5" t="n">
        <v>210</v>
      </c>
      <c r="F588" s="4" t="s">
        <v>10</v>
      </c>
      <c r="G588" s="4" t="s">
        <v>1784</v>
      </c>
      <c r="H588" s="4" t="s">
        <v>1785</v>
      </c>
      <c r="I588" s="6" t="s">
        <v>13</v>
      </c>
    </row>
    <row r="589" spans="1:9">
      <c r="A589" s="4" t="s">
        <v>1786</v>
      </c>
      <c r="B589" s="4" t="s">
        <v>262</v>
      </c>
      <c r="C589" s="5" t="n">
        <v>52.1</v>
      </c>
      <c r="D589" s="5" t="n">
        <v>20.88</v>
      </c>
      <c r="E589" s="5" t="n">
        <v>12</v>
      </c>
      <c r="F589" s="4" t="s">
        <v>1283</v>
      </c>
      <c r="G589" s="4" t="s">
        <v>1787</v>
      </c>
      <c r="H589" s="4" t="s">
        <v>1788</v>
      </c>
      <c r="I589" s="6" t="s">
        <v>13</v>
      </c>
    </row>
    <row r="590" spans="1:9">
      <c r="A590" s="4" t="s">
        <v>1789</v>
      </c>
      <c r="B590" s="4" t="s">
        <v>262</v>
      </c>
      <c r="C590" s="5" t="n">
        <v>37.1</v>
      </c>
      <c r="D590" s="5" t="n">
        <v>18.55</v>
      </c>
      <c r="E590" s="5" t="n">
        <v>5</v>
      </c>
      <c r="F590" s="4" t="s">
        <v>1283</v>
      </c>
      <c r="G590" s="4" t="s">
        <v>1790</v>
      </c>
      <c r="H590" s="4" t="s">
        <v>1791</v>
      </c>
      <c r="I590" s="6" t="s">
        <v>13</v>
      </c>
    </row>
    <row r="591" spans="1:9">
      <c r="A591" s="4" t="s">
        <v>1792</v>
      </c>
      <c r="B591" s="4" t="s">
        <v>262</v>
      </c>
      <c r="C591" s="5" t="n">
        <v>45.8</v>
      </c>
      <c r="D591" s="5" t="n">
        <v>23.29</v>
      </c>
      <c r="E591" s="5" t="n">
        <v>11</v>
      </c>
      <c r="F591" s="4" t="s">
        <v>1283</v>
      </c>
      <c r="G591" s="4" t="s">
        <v>1793</v>
      </c>
      <c r="H591" s="4" t="s">
        <v>1794</v>
      </c>
      <c r="I591" s="6" t="s">
        <v>13</v>
      </c>
    </row>
    <row r="592" spans="1:9">
      <c r="A592" s="4" t="s">
        <v>1795</v>
      </c>
      <c r="B592" s="4" t="s">
        <v>262</v>
      </c>
      <c r="C592" s="5" t="n">
        <v>45.8</v>
      </c>
      <c r="D592" s="5" t="n">
        <v>22.9</v>
      </c>
      <c r="E592" s="5" t="n">
        <v>2</v>
      </c>
      <c r="F592" s="4" t="s">
        <v>1283</v>
      </c>
      <c r="G592" s="4" t="s">
        <v>1796</v>
      </c>
      <c r="H592" s="4" t="s">
        <v>1797</v>
      </c>
      <c r="I592" s="6" t="s">
        <v>13</v>
      </c>
    </row>
    <row r="593" spans="1:9">
      <c r="A593" s="4" t="s">
        <v>1798</v>
      </c>
      <c r="B593" s="4" t="s">
        <v>1709</v>
      </c>
      <c r="C593" s="5" t="n">
        <v>5.92</v>
      </c>
      <c r="D593" s="5" t="n">
        <v>5.02</v>
      </c>
      <c r="E593" s="5" t="n">
        <v>48</v>
      </c>
      <c r="F593" s="4" t="s">
        <v>10</v>
      </c>
      <c r="G593" s="4" t="s">
        <v>1799</v>
      </c>
      <c r="H593" s="4" t="s">
        <v>1800</v>
      </c>
      <c r="I593" s="6" t="s">
        <v>13</v>
      </c>
    </row>
    <row r="594" spans="1:9">
      <c r="A594" s="4" t="s">
        <v>1801</v>
      </c>
      <c r="B594" s="4" t="s">
        <v>1709</v>
      </c>
      <c r="C594" s="5" t="n">
        <v>19.16</v>
      </c>
      <c r="D594" s="5" t="n">
        <v>9.58</v>
      </c>
      <c r="E594" s="5" t="n">
        <v>10</v>
      </c>
      <c r="F594" s="4" t="s">
        <v>10</v>
      </c>
      <c r="G594" s="4" t="s">
        <v>1802</v>
      </c>
      <c r="H594" s="4" t="s">
        <v>1803</v>
      </c>
      <c r="I594" s="6" t="s">
        <v>13</v>
      </c>
    </row>
    <row r="595" spans="1:9">
      <c r="A595" s="4" t="s">
        <v>1804</v>
      </c>
      <c r="B595" s="4" t="s">
        <v>1709</v>
      </c>
      <c r="C595" s="5" t="n">
        <v>7.74</v>
      </c>
      <c r="D595" s="5" t="n">
        <v>3.87</v>
      </c>
      <c r="E595" s="5" t="n">
        <v>10</v>
      </c>
      <c r="F595" s="4" t="s">
        <v>10</v>
      </c>
      <c r="G595" s="4" t="s">
        <v>1805</v>
      </c>
      <c r="H595" s="4" t="s">
        <v>1806</v>
      </c>
      <c r="I595" s="6" t="s">
        <v>13</v>
      </c>
    </row>
    <row r="596" spans="1:9">
      <c r="A596" s="4" t="s">
        <v>1807</v>
      </c>
      <c r="B596" s="4" t="s">
        <v>1709</v>
      </c>
      <c r="C596" s="5" t="n">
        <v>135.16</v>
      </c>
      <c r="D596" s="5" t="n">
        <v>84.46</v>
      </c>
      <c r="E596" s="5" t="n">
        <v>2</v>
      </c>
      <c r="F596" s="4" t="s">
        <v>10</v>
      </c>
      <c r="G596" s="4" t="s">
        <v>1808</v>
      </c>
      <c r="H596" s="4" t="s">
        <v>1809</v>
      </c>
      <c r="I596" s="6" t="s">
        <v>13</v>
      </c>
    </row>
    <row r="597" spans="1:9">
      <c r="A597" s="4" t="s">
        <v>1810</v>
      </c>
      <c r="B597" s="4" t="s">
        <v>262</v>
      </c>
      <c r="C597" s="5" t="n">
        <v>13.58</v>
      </c>
      <c r="D597" s="5" t="n">
        <v>6.79</v>
      </c>
      <c r="E597" s="5" t="n">
        <v>6</v>
      </c>
      <c r="F597" s="4" t="s">
        <v>10</v>
      </c>
      <c r="G597" s="4" t="s">
        <v>1811</v>
      </c>
      <c r="H597" s="4" t="s">
        <v>1812</v>
      </c>
      <c r="I597" s="6" t="s">
        <v>13</v>
      </c>
    </row>
    <row r="598" spans="1:9">
      <c r="A598" s="4" t="s">
        <v>1813</v>
      </c>
      <c r="B598" s="4" t="s">
        <v>262</v>
      </c>
      <c r="C598" s="5" t="n">
        <v>314.92</v>
      </c>
      <c r="D598" s="5" t="n">
        <v>157.46</v>
      </c>
      <c r="E598" s="5" t="n">
        <v>2</v>
      </c>
      <c r="F598" s="4" t="s">
        <v>10</v>
      </c>
      <c r="G598" s="4" t="s">
        <v>1814</v>
      </c>
      <c r="H598" s="4" t="s">
        <v>1815</v>
      </c>
      <c r="I598" s="6" t="s">
        <v>13</v>
      </c>
    </row>
    <row r="599" spans="1:9">
      <c r="A599" s="4" t="s">
        <v>1816</v>
      </c>
      <c r="B599" s="4" t="s">
        <v>1709</v>
      </c>
      <c r="C599" s="5" t="n">
        <v>3.3</v>
      </c>
      <c r="D599" s="5" t="n">
        <v>2.91</v>
      </c>
      <c r="E599" s="5" t="n">
        <v>48</v>
      </c>
      <c r="F599" s="4" t="s">
        <v>10</v>
      </c>
      <c r="G599" s="4" t="s">
        <v>1817</v>
      </c>
      <c r="H599" s="4" t="s">
        <v>1818</v>
      </c>
      <c r="I599" s="6" t="s">
        <v>13</v>
      </c>
    </row>
    <row r="600" spans="1:9">
      <c r="A600" s="4" t="s">
        <v>1819</v>
      </c>
      <c r="B600" s="4" t="s">
        <v>1709</v>
      </c>
      <c r="C600" s="5" t="n">
        <v>6.12</v>
      </c>
      <c r="D600" s="5" t="n">
        <v>3.06</v>
      </c>
      <c r="E600" s="5" t="n">
        <v>10</v>
      </c>
      <c r="F600" s="4" t="s">
        <v>10</v>
      </c>
      <c r="G600" s="4" t="s">
        <v>1820</v>
      </c>
      <c r="H600" s="4" t="s">
        <v>1821</v>
      </c>
      <c r="I600" s="6" t="s">
        <v>13</v>
      </c>
    </row>
    <row r="601" spans="1:9">
      <c r="A601" s="4" t="s">
        <v>1822</v>
      </c>
      <c r="B601" s="4" t="s">
        <v>1730</v>
      </c>
      <c r="C601" s="5" t="n">
        <v>136.58</v>
      </c>
      <c r="D601" s="5" t="n">
        <v>68.29</v>
      </c>
      <c r="E601" s="5" t="n">
        <v>2</v>
      </c>
      <c r="F601" s="4" t="s">
        <v>1726</v>
      </c>
      <c r="G601" s="4" t="s">
        <v>1823</v>
      </c>
      <c r="H601" s="4" t="s">
        <v>1824</v>
      </c>
      <c r="I601" s="6" t="s">
        <v>13</v>
      </c>
    </row>
    <row r="602" spans="1:9">
      <c r="A602" s="4" t="s">
        <v>1825</v>
      </c>
      <c r="B602" s="4" t="s">
        <v>1709</v>
      </c>
      <c r="C602" s="5" t="n">
        <v>144.94</v>
      </c>
      <c r="D602" s="5" t="n">
        <v>72.47</v>
      </c>
      <c r="E602" s="5" t="n">
        <v>1</v>
      </c>
      <c r="F602" s="4" t="s">
        <v>1726</v>
      </c>
      <c r="G602" s="4" t="s">
        <v>1826</v>
      </c>
      <c r="H602" s="4" t="s">
        <v>1827</v>
      </c>
      <c r="I602" s="6" t="s">
        <v>13</v>
      </c>
    </row>
    <row r="603" spans="1:9">
      <c r="A603" s="4" t="s">
        <v>1828</v>
      </c>
      <c r="B603" s="4" t="s">
        <v>1730</v>
      </c>
      <c r="C603" s="5" t="n">
        <v>40.08</v>
      </c>
      <c r="D603" s="5" t="n">
        <v>20.04</v>
      </c>
      <c r="E603" s="5" t="n">
        <v>10</v>
      </c>
      <c r="F603" s="4" t="s">
        <v>263</v>
      </c>
      <c r="G603" s="4" t="s">
        <v>1829</v>
      </c>
      <c r="H603" s="4" t="s">
        <v>1830</v>
      </c>
      <c r="I603" s="6" t="s">
        <v>13</v>
      </c>
    </row>
    <row r="604" spans="1:9">
      <c r="A604" s="4" t="s">
        <v>1831</v>
      </c>
      <c r="B604" s="4" t="s">
        <v>1709</v>
      </c>
      <c r="C604" s="5" t="n">
        <v>147.02</v>
      </c>
      <c r="D604" s="5" t="n">
        <v>73.51</v>
      </c>
      <c r="E604" s="5" t="n">
        <v>2</v>
      </c>
      <c r="F604" s="4" t="s">
        <v>1726</v>
      </c>
      <c r="G604" s="4" t="s">
        <v>1832</v>
      </c>
      <c r="H604" s="4" t="s">
        <v>1833</v>
      </c>
      <c r="I604" s="6" t="s">
        <v>13</v>
      </c>
    </row>
    <row r="605" spans="1:9">
      <c r="A605" s="4" t="s">
        <v>1834</v>
      </c>
      <c r="B605" s="4">
        <f>="(3) MT  -  MATERIAIS|(3.1) MT | EMBALAGENS "</f>
      </c>
      <c r="C605" s="5" t="n">
        <v>0.36</v>
      </c>
      <c r="D605" s="5" t="n">
        <v>0.18</v>
      </c>
      <c r="E605" s="5" t="n">
        <v>100</v>
      </c>
      <c r="F605" s="4" t="s">
        <v>10</v>
      </c>
      <c r="G605" s="4" t="s">
        <v>1835</v>
      </c>
      <c r="H605" s="4" t="s">
        <v>1836</v>
      </c>
      <c r="I605" s="6" t="s">
        <v>13</v>
      </c>
    </row>
    <row r="606" spans="1:9">
      <c r="A606" s="4" t="s">
        <v>1837</v>
      </c>
      <c r="B606" s="4" t="s">
        <v>24</v>
      </c>
      <c r="C606" s="5" t="n">
        <v>28.9</v>
      </c>
      <c r="D606" s="5" t="n">
        <v>3.74</v>
      </c>
      <c r="F606" s="4" t="s">
        <v>10</v>
      </c>
      <c r="G606" s="4" t="s">
        <v>1838</v>
      </c>
      <c r="H606" s="4" t="s">
        <v>1839</v>
      </c>
      <c r="I606" s="6" t="s">
        <v>13</v>
      </c>
    </row>
    <row r="607" spans="1:9">
      <c r="A607" s="4" t="s">
        <v>1840</v>
      </c>
      <c r="B607" s="4" t="s">
        <v>51</v>
      </c>
      <c r="C607" s="5" t="n">
        <v>5</v>
      </c>
      <c r="E607" s="5" t="n">
        <v>7</v>
      </c>
      <c r="F607" s="4" t="s">
        <v>10</v>
      </c>
      <c r="G607" s="4" t="s">
        <v>1841</v>
      </c>
      <c r="H607" s="4" t="s">
        <v>1842</v>
      </c>
      <c r="I607" s="6" t="s">
        <v>13</v>
      </c>
    </row>
    <row r="608" spans="1:9">
      <c r="A608" s="4" t="s">
        <v>1843</v>
      </c>
      <c r="B608" s="4" t="s">
        <v>51</v>
      </c>
      <c r="C608" s="5" t="n">
        <v>8.5</v>
      </c>
      <c r="D608" s="5" t="n">
        <v>6.15</v>
      </c>
      <c r="E608" s="5" t="n">
        <v>9</v>
      </c>
      <c r="F608" s="4" t="s">
        <v>10</v>
      </c>
      <c r="G608" s="4" t="s">
        <v>1844</v>
      </c>
      <c r="H608" s="4" t="s">
        <v>1845</v>
      </c>
      <c r="I608" s="6" t="s">
        <v>13</v>
      </c>
    </row>
    <row r="609" spans="1:9">
      <c r="A609" s="4" t="s">
        <v>1846</v>
      </c>
      <c r="B609" s="4" t="s">
        <v>77</v>
      </c>
      <c r="C609" s="5" t="n">
        <v>15.5</v>
      </c>
      <c r="E609" s="5" t="n">
        <v>-8</v>
      </c>
      <c r="F609" s="4" t="s">
        <v>10</v>
      </c>
      <c r="G609" s="4" t="s">
        <v>1847</v>
      </c>
      <c r="H609" s="4" t="s">
        <v>1848</v>
      </c>
      <c r="I609" s="6" t="s">
        <v>13</v>
      </c>
    </row>
    <row r="610" spans="1:9">
      <c r="A610" s="4" t="s">
        <v>1849</v>
      </c>
      <c r="B610" s="4" t="s">
        <v>51</v>
      </c>
      <c r="C610" s="5" t="n">
        <v>9</v>
      </c>
      <c r="D610" s="5" t="n">
        <v>6.15</v>
      </c>
      <c r="E610" s="5" t="n">
        <v>17</v>
      </c>
      <c r="F610" s="4" t="s">
        <v>10</v>
      </c>
      <c r="G610" s="4" t="s">
        <v>1850</v>
      </c>
      <c r="H610" s="4" t="s">
        <v>1851</v>
      </c>
      <c r="I610" s="6" t="s">
        <v>13</v>
      </c>
    </row>
    <row r="611" spans="1:9">
      <c r="A611" s="4" t="s">
        <v>1852</v>
      </c>
      <c r="B611" s="4" t="s">
        <v>77</v>
      </c>
      <c r="C611" s="5" t="n">
        <v>7</v>
      </c>
      <c r="E611" s="5" t="n">
        <v>-11</v>
      </c>
      <c r="F611" s="4" t="s">
        <v>10</v>
      </c>
      <c r="G611" s="4" t="s">
        <v>1853</v>
      </c>
      <c r="H611" s="4" t="s">
        <v>1854</v>
      </c>
      <c r="I611" s="6" t="s">
        <v>13</v>
      </c>
    </row>
    <row r="612" spans="1:9">
      <c r="A612" s="4" t="s">
        <v>1855</v>
      </c>
      <c r="B612" s="4" t="s">
        <v>875</v>
      </c>
      <c r="C612" s="5" t="n">
        <v>35.9</v>
      </c>
      <c r="D612" s="5" t="n">
        <v>9.76</v>
      </c>
      <c r="F612" s="4" t="s">
        <v>10</v>
      </c>
      <c r="G612" s="4" t="s">
        <v>1856</v>
      </c>
      <c r="H612" s="4" t="s">
        <v>1857</v>
      </c>
      <c r="I612" s="6" t="s">
        <v>13</v>
      </c>
    </row>
    <row r="613" spans="1:9">
      <c r="A613" s="4" t="s">
        <v>1858</v>
      </c>
      <c r="B613" s="4" t="s">
        <v>875</v>
      </c>
      <c r="C613" s="5" t="n">
        <v>31.9</v>
      </c>
      <c r="D613" s="5" t="n">
        <v>2.74</v>
      </c>
      <c r="F613" s="4" t="s">
        <v>10</v>
      </c>
      <c r="G613" s="4" t="s">
        <v>1859</v>
      </c>
      <c r="H613" s="4" t="s">
        <v>1860</v>
      </c>
      <c r="I613" s="6" t="s">
        <v>13</v>
      </c>
    </row>
    <row r="614" spans="1:9">
      <c r="A614" s="4" t="s">
        <v>1861</v>
      </c>
      <c r="B614" s="4" t="s">
        <v>875</v>
      </c>
      <c r="C614" s="5" t="n">
        <v>34.9</v>
      </c>
      <c r="D614" s="5" t="n">
        <v>1.99</v>
      </c>
      <c r="F614" s="4" t="s">
        <v>10</v>
      </c>
      <c r="G614" s="4" t="s">
        <v>1862</v>
      </c>
      <c r="H614" s="4" t="s">
        <v>1863</v>
      </c>
      <c r="I614" s="6" t="s">
        <v>13</v>
      </c>
    </row>
    <row r="615" spans="1:9">
      <c r="A615" s="4" t="s">
        <v>1864</v>
      </c>
      <c r="B615" s="4" t="s">
        <v>875</v>
      </c>
      <c r="C615" s="5" t="n">
        <v>17.9</v>
      </c>
      <c r="D615" s="5" t="n">
        <v>4.53</v>
      </c>
      <c r="F615" s="4" t="s">
        <v>10</v>
      </c>
      <c r="G615" s="4" t="s">
        <v>1865</v>
      </c>
      <c r="H615" s="4" t="s">
        <v>1866</v>
      </c>
      <c r="I615" s="6" t="s">
        <v>13</v>
      </c>
    </row>
    <row r="616" spans="1:9">
      <c r="A616" s="4" t="s">
        <v>1867</v>
      </c>
      <c r="B616" s="4" t="s">
        <v>27</v>
      </c>
      <c r="C616" s="5" t="n">
        <v>4.9</v>
      </c>
      <c r="D616" s="5" t="n">
        <v>0.76</v>
      </c>
      <c r="F616" s="4" t="s">
        <v>10</v>
      </c>
      <c r="G616" s="4" t="s">
        <v>1868</v>
      </c>
      <c r="H616" s="4" t="s">
        <v>1869</v>
      </c>
      <c r="I616" s="6" t="s">
        <v>13</v>
      </c>
    </row>
    <row r="617" spans="1:9">
      <c r="A617" s="4" t="s">
        <v>1870</v>
      </c>
      <c r="B617" s="4" t="s">
        <v>1871</v>
      </c>
      <c r="D617" s="5" t="n">
        <v>7.42</v>
      </c>
      <c r="F617" s="4" t="s">
        <v>10</v>
      </c>
      <c r="G617" s="4" t="s">
        <v>1872</v>
      </c>
      <c r="H617" s="4" t="s">
        <v>1873</v>
      </c>
      <c r="I617" s="6" t="s">
        <v>13</v>
      </c>
    </row>
    <row r="618" spans="1:9">
      <c r="A618" s="4" t="s">
        <v>1874</v>
      </c>
      <c r="B618" s="4" t="s">
        <v>1871</v>
      </c>
      <c r="D618" s="5" t="n">
        <v>6.97</v>
      </c>
      <c r="F618" s="4" t="s">
        <v>10</v>
      </c>
      <c r="G618" s="4" t="s">
        <v>1875</v>
      </c>
      <c r="H618" s="4" t="s">
        <v>1876</v>
      </c>
      <c r="I618" s="6" t="s">
        <v>13</v>
      </c>
    </row>
    <row r="619" spans="1:9">
      <c r="A619" s="4" t="s">
        <v>1877</v>
      </c>
      <c r="B619" s="4" t="s">
        <v>1871</v>
      </c>
      <c r="D619" s="5" t="n">
        <v>31.4</v>
      </c>
      <c r="F619" s="4" t="s">
        <v>10</v>
      </c>
      <c r="G619" s="4" t="s">
        <v>1878</v>
      </c>
      <c r="H619" s="4" t="s">
        <v>1879</v>
      </c>
      <c r="I619" s="6" t="s">
        <v>13</v>
      </c>
    </row>
    <row r="620" spans="1:9">
      <c r="A620" s="4" t="s">
        <v>1880</v>
      </c>
      <c r="B620" s="4" t="s">
        <v>1871</v>
      </c>
      <c r="D620" s="5" t="n">
        <v>31.19</v>
      </c>
      <c r="F620" s="4" t="s">
        <v>10</v>
      </c>
      <c r="G620" s="4" t="s">
        <v>1881</v>
      </c>
      <c r="H620" s="4" t="s">
        <v>1882</v>
      </c>
      <c r="I620" s="6" t="s">
        <v>13</v>
      </c>
    </row>
    <row r="621" spans="1:9">
      <c r="A621" s="4">
        <f>="P. FATIA BOLO PUDIM "</f>
      </c>
      <c r="B621" s="4" t="s">
        <v>1871</v>
      </c>
      <c r="D621" s="5" t="n">
        <v>1.84</v>
      </c>
      <c r="E621" s="5" t="n">
        <v>-56</v>
      </c>
      <c r="F621" s="4" t="s">
        <v>10</v>
      </c>
      <c r="G621" s="4" t="s">
        <v>1883</v>
      </c>
      <c r="H621" s="4" t="s">
        <v>1884</v>
      </c>
      <c r="I621" s="6" t="s">
        <v>13</v>
      </c>
    </row>
    <row r="622" spans="1:9">
      <c r="A622" s="4" t="s">
        <v>1885</v>
      </c>
      <c r="B622" s="4" t="s">
        <v>1871</v>
      </c>
      <c r="D622" s="5" t="n">
        <v>2.8</v>
      </c>
      <c r="F622" s="4" t="s">
        <v>10</v>
      </c>
      <c r="G622" s="4" t="s">
        <v>1886</v>
      </c>
      <c r="H622" s="4" t="s">
        <v>1887</v>
      </c>
      <c r="I622" s="6" t="s">
        <v>13</v>
      </c>
    </row>
    <row r="623" spans="1:9">
      <c r="A623" s="4" t="s">
        <v>1888</v>
      </c>
      <c r="B623" s="4" t="s">
        <v>1871</v>
      </c>
      <c r="D623" s="5" t="n">
        <v>0.46</v>
      </c>
      <c r="F623" s="4" t="s">
        <v>10</v>
      </c>
      <c r="G623" s="4" t="s">
        <v>1889</v>
      </c>
      <c r="H623" s="4" t="s">
        <v>1890</v>
      </c>
      <c r="I623" s="6" t="s">
        <v>13</v>
      </c>
    </row>
    <row r="624" spans="1:9">
      <c r="A624" s="4" t="s">
        <v>1891</v>
      </c>
      <c r="B624" s="4" t="s">
        <v>1871</v>
      </c>
      <c r="F624" s="4" t="s">
        <v>10</v>
      </c>
      <c r="G624" s="4" t="s">
        <v>1892</v>
      </c>
      <c r="H624" s="4" t="s">
        <v>1893</v>
      </c>
      <c r="I624" s="6" t="s">
        <v>13</v>
      </c>
    </row>
    <row r="625" spans="1:9">
      <c r="A625" s="4" t="s">
        <v>1894</v>
      </c>
      <c r="B625" s="4" t="s">
        <v>1871</v>
      </c>
      <c r="D625" s="5" t="n">
        <v>1.09</v>
      </c>
      <c r="F625" s="4" t="s">
        <v>10</v>
      </c>
      <c r="G625" s="4" t="s">
        <v>1895</v>
      </c>
      <c r="H625" s="4" t="s">
        <v>1896</v>
      </c>
      <c r="I625" s="6" t="s">
        <v>13</v>
      </c>
    </row>
    <row r="626" spans="1:9">
      <c r="A626" s="4" t="s">
        <v>1897</v>
      </c>
      <c r="B626" s="4" t="s">
        <v>1871</v>
      </c>
      <c r="D626" s="5" t="n">
        <v>0.65</v>
      </c>
      <c r="F626" s="4" t="s">
        <v>10</v>
      </c>
      <c r="G626" s="4" t="s">
        <v>1898</v>
      </c>
      <c r="H626" s="4" t="s">
        <v>1899</v>
      </c>
      <c r="I626" s="6" t="s">
        <v>13</v>
      </c>
    </row>
    <row r="627" spans="1:9">
      <c r="A627" s="4" t="s">
        <v>1900</v>
      </c>
      <c r="B627" s="4" t="s">
        <v>1871</v>
      </c>
      <c r="F627" s="4" t="s">
        <v>10</v>
      </c>
      <c r="G627" s="4" t="s">
        <v>1901</v>
      </c>
      <c r="H627" s="4" t="s">
        <v>1902</v>
      </c>
      <c r="I627" s="6" t="s">
        <v>13</v>
      </c>
    </row>
    <row r="628" spans="1:9">
      <c r="A628" s="4" t="s">
        <v>1903</v>
      </c>
      <c r="B628" s="4" t="s">
        <v>1871</v>
      </c>
      <c r="D628" s="5" t="n">
        <v>5.46</v>
      </c>
      <c r="F628" s="4" t="s">
        <v>263</v>
      </c>
      <c r="G628" s="4" t="s">
        <v>1904</v>
      </c>
      <c r="H628" s="4" t="s">
        <v>1905</v>
      </c>
      <c r="I628" s="6" t="s">
        <v>13</v>
      </c>
    </row>
    <row r="629" spans="1:9">
      <c r="A629" s="4" t="s">
        <v>1906</v>
      </c>
      <c r="B629" s="4" t="s">
        <v>1871</v>
      </c>
      <c r="D629" s="5" t="n">
        <v>0.55</v>
      </c>
      <c r="F629" s="4" t="s">
        <v>10</v>
      </c>
      <c r="G629" s="4" t="s">
        <v>1907</v>
      </c>
      <c r="H629" s="4" t="s">
        <v>1908</v>
      </c>
      <c r="I629" s="6" t="s">
        <v>13</v>
      </c>
    </row>
    <row r="630" spans="1:9">
      <c r="A630" s="4" t="s">
        <v>1909</v>
      </c>
      <c r="B630" s="4" t="s">
        <v>1871</v>
      </c>
      <c r="D630" s="5" t="n">
        <v>4.82</v>
      </c>
      <c r="F630" s="4" t="s">
        <v>10</v>
      </c>
      <c r="G630" s="4" t="s">
        <v>1910</v>
      </c>
      <c r="H630" s="4" t="s">
        <v>1911</v>
      </c>
      <c r="I630" s="6" t="s">
        <v>13</v>
      </c>
    </row>
    <row r="631" spans="1:9">
      <c r="A631" s="4" t="s">
        <v>1912</v>
      </c>
      <c r="B631" s="4" t="s">
        <v>1871</v>
      </c>
      <c r="D631" s="5" t="n">
        <v>3.62</v>
      </c>
      <c r="F631" s="4" t="s">
        <v>10</v>
      </c>
      <c r="G631" s="4" t="s">
        <v>1913</v>
      </c>
      <c r="H631" s="4" t="s">
        <v>1914</v>
      </c>
      <c r="I631" s="6" t="s">
        <v>13</v>
      </c>
    </row>
    <row r="632" spans="1:9">
      <c r="A632" s="4" t="s">
        <v>1915</v>
      </c>
      <c r="B632" s="4" t="s">
        <v>1871</v>
      </c>
      <c r="D632" s="5" t="n">
        <v>3.98</v>
      </c>
      <c r="F632" s="4" t="s">
        <v>10</v>
      </c>
      <c r="G632" s="4" t="s">
        <v>1916</v>
      </c>
      <c r="H632" s="4" t="s">
        <v>1917</v>
      </c>
      <c r="I632" s="6" t="s">
        <v>13</v>
      </c>
    </row>
    <row r="633" spans="1:9">
      <c r="A633" s="4" t="s">
        <v>1918</v>
      </c>
      <c r="B633" s="4" t="s">
        <v>1871</v>
      </c>
      <c r="D633" s="5" t="n">
        <v>2.23</v>
      </c>
      <c r="F633" s="4" t="s">
        <v>10</v>
      </c>
      <c r="G633" s="4" t="s">
        <v>1919</v>
      </c>
      <c r="H633" s="4" t="s">
        <v>1920</v>
      </c>
      <c r="I633" s="6" t="s">
        <v>13</v>
      </c>
    </row>
    <row r="634" spans="1:9">
      <c r="A634" s="4" t="s">
        <v>1921</v>
      </c>
      <c r="B634" s="4" t="s">
        <v>1871</v>
      </c>
      <c r="D634" s="5" t="n">
        <v>0.22</v>
      </c>
      <c r="F634" s="4" t="s">
        <v>10</v>
      </c>
      <c r="G634" s="4" t="s">
        <v>1922</v>
      </c>
      <c r="H634" s="4" t="s">
        <v>1923</v>
      </c>
      <c r="I634" s="6" t="s">
        <v>13</v>
      </c>
    </row>
    <row r="635" spans="1:9">
      <c r="A635" s="4" t="s">
        <v>1924</v>
      </c>
      <c r="B635" s="4" t="s">
        <v>1871</v>
      </c>
      <c r="D635" s="5" t="n">
        <v>25.7</v>
      </c>
      <c r="F635" s="4" t="s">
        <v>263</v>
      </c>
      <c r="G635" s="4" t="s">
        <v>1925</v>
      </c>
      <c r="H635" s="4" t="s">
        <v>1926</v>
      </c>
      <c r="I635" s="6" t="s">
        <v>13</v>
      </c>
    </row>
    <row r="636" spans="1:9">
      <c r="A636" s="4" t="s">
        <v>1927</v>
      </c>
      <c r="B636" s="4" t="s">
        <v>1871</v>
      </c>
      <c r="D636" s="5" t="n">
        <v>4.48</v>
      </c>
      <c r="F636" s="4" t="s">
        <v>10</v>
      </c>
      <c r="G636" s="4" t="s">
        <v>1928</v>
      </c>
      <c r="H636" s="4" t="s">
        <v>1929</v>
      </c>
      <c r="I636" s="6" t="s">
        <v>13</v>
      </c>
    </row>
    <row r="637" spans="1:9">
      <c r="A637" s="4" t="s">
        <v>1930</v>
      </c>
      <c r="B637" s="4" t="s">
        <v>77</v>
      </c>
      <c r="C637" s="5" t="n">
        <v>8</v>
      </c>
      <c r="D637" s="5" t="n">
        <v>4.5</v>
      </c>
      <c r="E637" s="5" t="n">
        <v>-9</v>
      </c>
      <c r="F637" s="4" t="s">
        <v>10</v>
      </c>
      <c r="G637" s="4" t="s">
        <v>1931</v>
      </c>
      <c r="H637" s="4" t="s">
        <v>1932</v>
      </c>
      <c r="I637" s="6" t="s">
        <v>13</v>
      </c>
    </row>
    <row r="638" spans="1:9">
      <c r="A638" s="4" t="s">
        <v>1933</v>
      </c>
      <c r="B638" s="4" t="s">
        <v>1709</v>
      </c>
      <c r="C638" s="5" t="n">
        <v>7.64</v>
      </c>
      <c r="D638" s="5" t="n">
        <v>3.82</v>
      </c>
      <c r="E638" s="5" t="n">
        <v>12</v>
      </c>
      <c r="F638" s="4" t="s">
        <v>10</v>
      </c>
      <c r="G638" s="4" t="s">
        <v>1934</v>
      </c>
      <c r="H638" s="4" t="s">
        <v>1935</v>
      </c>
      <c r="I638" s="6" t="s">
        <v>13</v>
      </c>
    </row>
    <row r="639" spans="1:9">
      <c r="A639" s="4" t="s">
        <v>1936</v>
      </c>
      <c r="B639" s="4" t="s">
        <v>24</v>
      </c>
      <c r="C639" s="5" t="n">
        <v>6.9</v>
      </c>
      <c r="F639" s="4" t="s">
        <v>10</v>
      </c>
      <c r="G639" s="4" t="s">
        <v>1937</v>
      </c>
      <c r="H639" s="4" t="s">
        <v>1938</v>
      </c>
      <c r="I639" s="6" t="s">
        <v>13</v>
      </c>
    </row>
    <row r="640" spans="1:9">
      <c r="A640" s="4" t="s">
        <v>1939</v>
      </c>
      <c r="B640" s="4" t="s">
        <v>24</v>
      </c>
      <c r="C640" s="5" t="n">
        <v>10.9</v>
      </c>
      <c r="D640" s="5" t="n">
        <v>1.01</v>
      </c>
      <c r="F640" s="4" t="s">
        <v>10</v>
      </c>
      <c r="G640" s="4" t="s">
        <v>1940</v>
      </c>
      <c r="H640" s="4" t="s">
        <v>1941</v>
      </c>
      <c r="I640" s="6" t="s">
        <v>13</v>
      </c>
    </row>
    <row r="641" spans="1:9">
      <c r="A641" s="4" t="s">
        <v>1942</v>
      </c>
      <c r="B641" s="4" t="s">
        <v>824</v>
      </c>
      <c r="C641" s="5" t="n">
        <v>5.9</v>
      </c>
      <c r="D641" s="5" t="n">
        <v>2.99</v>
      </c>
      <c r="F641" s="4" t="s">
        <v>10</v>
      </c>
      <c r="G641" s="4" t="s">
        <v>1943</v>
      </c>
      <c r="H641" s="4" t="s">
        <v>1944</v>
      </c>
      <c r="I641" s="6" t="s">
        <v>13</v>
      </c>
    </row>
    <row r="642" spans="1:9">
      <c r="A642" s="4" t="s">
        <v>1945</v>
      </c>
      <c r="B642" s="4" t="s">
        <v>45</v>
      </c>
      <c r="C642" s="5" t="n">
        <v>2</v>
      </c>
      <c r="F642" s="4" t="s">
        <v>10</v>
      </c>
      <c r="G642" s="4" t="s">
        <v>1946</v>
      </c>
      <c r="H642" s="4" t="s">
        <v>1947</v>
      </c>
      <c r="I642" s="6" t="s">
        <v>13</v>
      </c>
    </row>
    <row r="643" spans="1:9">
      <c r="A643" s="4" t="s">
        <v>1948</v>
      </c>
      <c r="B643" s="4" t="s">
        <v>824</v>
      </c>
      <c r="C643" s="5" t="n">
        <v>11.9</v>
      </c>
      <c r="F643" s="4" t="s">
        <v>10</v>
      </c>
      <c r="G643" s="4" t="s">
        <v>1949</v>
      </c>
      <c r="H643" s="4" t="s">
        <v>1950</v>
      </c>
      <c r="I643" s="6" t="s">
        <v>13</v>
      </c>
    </row>
    <row r="644" spans="1:9">
      <c r="A644" s="4" t="s">
        <v>1951</v>
      </c>
      <c r="B644" s="4" t="s">
        <v>824</v>
      </c>
      <c r="C644" s="5" t="n">
        <v>11.9</v>
      </c>
      <c r="F644" s="4" t="s">
        <v>10</v>
      </c>
      <c r="G644" s="4" t="s">
        <v>1952</v>
      </c>
      <c r="H644" s="4" t="s">
        <v>1953</v>
      </c>
      <c r="I644" s="6" t="s">
        <v>13</v>
      </c>
    </row>
    <row r="645" spans="1:9">
      <c r="A645" s="4" t="s">
        <v>1954</v>
      </c>
      <c r="B645" s="4" t="s">
        <v>824</v>
      </c>
      <c r="C645" s="5" t="n">
        <v>12.9</v>
      </c>
      <c r="F645" s="4" t="s">
        <v>10</v>
      </c>
      <c r="G645" s="4" t="s">
        <v>1955</v>
      </c>
      <c r="H645" s="4" t="s">
        <v>1956</v>
      </c>
      <c r="I645" s="6" t="s">
        <v>13</v>
      </c>
    </row>
    <row r="646" spans="1:9">
      <c r="A646" s="4" t="s">
        <v>1957</v>
      </c>
      <c r="B646" s="4" t="s">
        <v>824</v>
      </c>
      <c r="C646" s="5" t="n">
        <v>11.9</v>
      </c>
      <c r="F646" s="4" t="s">
        <v>10</v>
      </c>
      <c r="G646" s="4" t="s">
        <v>1958</v>
      </c>
      <c r="H646" s="4" t="s">
        <v>1959</v>
      </c>
      <c r="I646" s="6" t="s">
        <v>13</v>
      </c>
    </row>
    <row r="647" spans="1:9">
      <c r="A647" s="4" t="s">
        <v>1960</v>
      </c>
      <c r="B647" s="4" t="s">
        <v>1730</v>
      </c>
      <c r="C647" s="5" t="n">
        <v>11.86</v>
      </c>
      <c r="D647" s="5" t="n">
        <v>5.4</v>
      </c>
      <c r="E647" s="5" t="n">
        <v>36</v>
      </c>
      <c r="F647" s="4" t="s">
        <v>10</v>
      </c>
      <c r="G647" s="4" t="s">
        <v>1961</v>
      </c>
      <c r="H647" s="4" t="s">
        <v>1962</v>
      </c>
      <c r="I647" s="6" t="s">
        <v>13</v>
      </c>
    </row>
    <row r="648" spans="1:9">
      <c r="A648" s="4" t="s">
        <v>1963</v>
      </c>
      <c r="B648" s="4" t="s">
        <v>820</v>
      </c>
      <c r="C648" s="5" t="n">
        <v>4.5</v>
      </c>
      <c r="E648" s="5" t="n">
        <v>-4</v>
      </c>
      <c r="F648" s="4" t="s">
        <v>10</v>
      </c>
      <c r="G648" s="4" t="s">
        <v>1964</v>
      </c>
      <c r="H648" s="4" t="s">
        <v>1965</v>
      </c>
      <c r="I648" s="6" t="s">
        <v>13</v>
      </c>
    </row>
    <row r="649" spans="1:9">
      <c r="A649" s="4" t="s">
        <v>1966</v>
      </c>
      <c r="B649" s="4" t="s">
        <v>820</v>
      </c>
      <c r="C649" s="5" t="n">
        <v>4.5</v>
      </c>
      <c r="E649" s="5" t="n">
        <v>-7</v>
      </c>
      <c r="F649" s="4" t="s">
        <v>10</v>
      </c>
      <c r="G649" s="4" t="s">
        <v>1967</v>
      </c>
      <c r="H649" s="4" t="s">
        <v>1968</v>
      </c>
      <c r="I649" s="6" t="s">
        <v>13</v>
      </c>
    </row>
    <row r="650" spans="1:9">
      <c r="A650" s="4" t="s">
        <v>1969</v>
      </c>
      <c r="B650" s="4" t="s">
        <v>17</v>
      </c>
      <c r="C650" s="5" t="n">
        <v>38.9</v>
      </c>
      <c r="D650" s="5" t="n">
        <v>53.8</v>
      </c>
      <c r="F650" s="4" t="s">
        <v>10</v>
      </c>
      <c r="G650" s="4" t="s">
        <v>1970</v>
      </c>
      <c r="H650" s="4" t="s">
        <v>1971</v>
      </c>
      <c r="I650" s="6" t="s">
        <v>13</v>
      </c>
    </row>
    <row r="651" spans="1:9">
      <c r="A651" s="4" t="s">
        <v>1972</v>
      </c>
      <c r="B651" s="4" t="s">
        <v>17</v>
      </c>
      <c r="C651" s="5" t="n">
        <v>36.9</v>
      </c>
      <c r="D651" s="5" t="n">
        <v>41.65</v>
      </c>
      <c r="F651" s="4" t="s">
        <v>10</v>
      </c>
      <c r="G651" s="4" t="s">
        <v>1973</v>
      </c>
      <c r="H651" s="4" t="s">
        <v>1974</v>
      </c>
      <c r="I651" s="6" t="s">
        <v>13</v>
      </c>
    </row>
    <row r="652" spans="1:9">
      <c r="A652" s="4" t="s">
        <v>1975</v>
      </c>
      <c r="B652" s="4" t="s">
        <v>824</v>
      </c>
      <c r="C652" s="5" t="n">
        <v>15.9</v>
      </c>
      <c r="D652" s="5" t="n">
        <v>6.89</v>
      </c>
      <c r="F652" s="4" t="s">
        <v>10</v>
      </c>
      <c r="G652" s="4" t="s">
        <v>1976</v>
      </c>
      <c r="H652" s="4" t="s">
        <v>1977</v>
      </c>
      <c r="I652" s="6" t="s">
        <v>13</v>
      </c>
    </row>
    <row r="653" spans="1:9">
      <c r="A653" s="4" t="s">
        <v>1978</v>
      </c>
      <c r="B653" s="4" t="s">
        <v>824</v>
      </c>
      <c r="C653" s="5" t="n">
        <v>12.9</v>
      </c>
      <c r="D653" s="5" t="n">
        <v>5.36</v>
      </c>
      <c r="F653" s="4" t="s">
        <v>10</v>
      </c>
      <c r="G653" s="4" t="s">
        <v>1979</v>
      </c>
      <c r="H653" s="4" t="s">
        <v>1980</v>
      </c>
      <c r="I653" s="6" t="s">
        <v>13</v>
      </c>
    </row>
    <row r="654" spans="1:9">
      <c r="A654" s="4" t="s">
        <v>1981</v>
      </c>
      <c r="B654" s="4" t="s">
        <v>824</v>
      </c>
      <c r="C654" s="5" t="n">
        <v>11.9</v>
      </c>
      <c r="D654" s="5" t="n">
        <v>0.66</v>
      </c>
      <c r="F654" s="4" t="s">
        <v>10</v>
      </c>
      <c r="G654" s="4" t="s">
        <v>1982</v>
      </c>
      <c r="H654" s="4" t="s">
        <v>1983</v>
      </c>
      <c r="I654" s="6" t="s">
        <v>13</v>
      </c>
    </row>
    <row r="655" spans="1:9">
      <c r="A655" s="4" t="s">
        <v>1984</v>
      </c>
      <c r="B655" s="4" t="s">
        <v>824</v>
      </c>
      <c r="C655" s="5" t="n">
        <v>11.9</v>
      </c>
      <c r="D655" s="5" t="n">
        <v>1.83</v>
      </c>
      <c r="F655" s="4" t="s">
        <v>10</v>
      </c>
      <c r="G655" s="4" t="s">
        <v>1985</v>
      </c>
      <c r="H655" s="4" t="s">
        <v>1986</v>
      </c>
      <c r="I655" s="6" t="s">
        <v>13</v>
      </c>
    </row>
    <row r="656" spans="1:9">
      <c r="A656" s="4" t="s">
        <v>1987</v>
      </c>
      <c r="B656" s="4" t="s">
        <v>824</v>
      </c>
      <c r="C656" s="5" t="n">
        <v>11.9</v>
      </c>
      <c r="D656" s="5" t="n">
        <v>2.84</v>
      </c>
      <c r="F656" s="4" t="s">
        <v>10</v>
      </c>
      <c r="G656" s="4" t="s">
        <v>1988</v>
      </c>
      <c r="H656" s="4" t="s">
        <v>1989</v>
      </c>
      <c r="I656" s="6" t="s">
        <v>13</v>
      </c>
    </row>
    <row r="657" spans="1:9">
      <c r="A657" s="4">
        <f>="PASTILHA GAROTO HORT "</f>
      </c>
      <c r="B657" s="4" t="s">
        <v>77</v>
      </c>
      <c r="C657" s="5" t="n">
        <v>2</v>
      </c>
      <c r="D657" s="5" t="n">
        <v>0.93</v>
      </c>
      <c r="E657" s="5" t="n">
        <v>6</v>
      </c>
      <c r="F657" s="4" t="s">
        <v>10</v>
      </c>
      <c r="G657" s="4" t="s">
        <v>1990</v>
      </c>
      <c r="H657" s="4" t="s">
        <v>1991</v>
      </c>
      <c r="I657" s="6" t="s">
        <v>13</v>
      </c>
    </row>
    <row r="658" spans="1:9">
      <c r="A658" s="4" t="s">
        <v>1992</v>
      </c>
      <c r="B658" s="4" t="s">
        <v>77</v>
      </c>
      <c r="C658" s="5" t="n">
        <v>0.75</v>
      </c>
      <c r="D658" s="5" t="n">
        <v>0.36</v>
      </c>
      <c r="E658" s="5" t="n">
        <v>42</v>
      </c>
      <c r="F658" s="4" t="s">
        <v>10</v>
      </c>
      <c r="G658" s="4" t="s">
        <v>1993</v>
      </c>
      <c r="H658" s="4" t="s">
        <v>1994</v>
      </c>
      <c r="I658" s="6" t="s">
        <v>13</v>
      </c>
    </row>
    <row r="659" spans="1:9">
      <c r="A659" s="4" t="s">
        <v>1995</v>
      </c>
      <c r="B659" s="4" t="s">
        <v>39</v>
      </c>
      <c r="C659" s="5" t="n">
        <v>20.99</v>
      </c>
      <c r="D659" s="5" t="n">
        <v>17.53</v>
      </c>
      <c r="E659" s="5" t="n">
        <v>-2</v>
      </c>
      <c r="F659" s="4" t="s">
        <v>10</v>
      </c>
      <c r="G659" s="4" t="s">
        <v>1996</v>
      </c>
      <c r="H659" s="4" t="s">
        <v>1997</v>
      </c>
      <c r="I659" s="6" t="s">
        <v>13</v>
      </c>
    </row>
    <row r="660" spans="1:9">
      <c r="A660" s="4" t="s">
        <v>1998</v>
      </c>
      <c r="B660" s="4" t="s">
        <v>39</v>
      </c>
      <c r="C660" s="5" t="n">
        <v>20.99</v>
      </c>
      <c r="D660" s="5" t="n">
        <v>17.53</v>
      </c>
      <c r="E660" s="5" t="n">
        <v>9</v>
      </c>
      <c r="F660" s="4" t="s">
        <v>10</v>
      </c>
      <c r="G660" s="4" t="s">
        <v>1999</v>
      </c>
      <c r="H660" s="4" t="s">
        <v>2000</v>
      </c>
      <c r="I660" s="6" t="s">
        <v>13</v>
      </c>
    </row>
    <row r="661" spans="1:9">
      <c r="A661" s="4" t="s">
        <v>2001</v>
      </c>
      <c r="B661" s="4" t="s">
        <v>39</v>
      </c>
      <c r="C661" s="5" t="n">
        <v>20.99</v>
      </c>
      <c r="E661" s="5" t="n">
        <v>-3</v>
      </c>
      <c r="F661" s="4" t="s">
        <v>10</v>
      </c>
      <c r="G661" s="4" t="s">
        <v>2002</v>
      </c>
      <c r="H661" s="4" t="s">
        <v>2003</v>
      </c>
      <c r="I661" s="6" t="s">
        <v>13</v>
      </c>
    </row>
    <row r="662" spans="1:9">
      <c r="A662" s="4" t="s">
        <v>2004</v>
      </c>
      <c r="B662" s="4" t="s">
        <v>39</v>
      </c>
      <c r="F662" s="4" t="s">
        <v>10</v>
      </c>
      <c r="G662" s="4" t="s">
        <v>2005</v>
      </c>
      <c r="H662" s="4" t="s">
        <v>2006</v>
      </c>
      <c r="I662" s="6" t="s">
        <v>13</v>
      </c>
    </row>
    <row r="663" spans="1:9">
      <c r="A663" s="4" t="s">
        <v>2007</v>
      </c>
      <c r="B663" s="4" t="s">
        <v>39</v>
      </c>
      <c r="F663" s="4" t="s">
        <v>10</v>
      </c>
      <c r="G663" s="4" t="s">
        <v>2008</v>
      </c>
      <c r="H663" s="4" t="s">
        <v>2009</v>
      </c>
      <c r="I663" s="6" t="s">
        <v>13</v>
      </c>
    </row>
    <row r="664" spans="1:9">
      <c r="A664" s="4" t="s">
        <v>2010</v>
      </c>
      <c r="B664" s="4" t="s">
        <v>39</v>
      </c>
      <c r="F664" s="4" t="s">
        <v>10</v>
      </c>
      <c r="G664" s="4" t="s">
        <v>2011</v>
      </c>
      <c r="H664" s="4" t="s">
        <v>2012</v>
      </c>
      <c r="I664" s="6" t="s">
        <v>13</v>
      </c>
    </row>
    <row r="665" spans="1:9">
      <c r="A665" s="4" t="s">
        <v>2013</v>
      </c>
      <c r="B665" s="4" t="s">
        <v>39</v>
      </c>
      <c r="F665" s="4" t="s">
        <v>10</v>
      </c>
      <c r="G665" s="4" t="s">
        <v>2014</v>
      </c>
      <c r="H665" s="4" t="s">
        <v>2015</v>
      </c>
      <c r="I665" s="6" t="s">
        <v>13</v>
      </c>
    </row>
    <row r="666" spans="1:9">
      <c r="A666" s="4" t="s">
        <v>2016</v>
      </c>
      <c r="B666" s="4" t="s">
        <v>183</v>
      </c>
      <c r="C666" s="5" t="n">
        <v>30</v>
      </c>
      <c r="F666" s="4" t="s">
        <v>10</v>
      </c>
      <c r="G666" s="4" t="s">
        <v>2017</v>
      </c>
      <c r="H666" s="4" t="s">
        <v>2018</v>
      </c>
      <c r="I666" s="6" t="s">
        <v>13</v>
      </c>
    </row>
    <row r="667" spans="1:9">
      <c r="A667" s="4" t="s">
        <v>2019</v>
      </c>
      <c r="B667" s="4" t="s">
        <v>183</v>
      </c>
      <c r="C667" s="5" t="n">
        <v>15</v>
      </c>
      <c r="D667" s="5" t="n">
        <v>11.35</v>
      </c>
      <c r="E667" s="5" t="n">
        <v>3</v>
      </c>
      <c r="F667" s="4" t="s">
        <v>10</v>
      </c>
      <c r="G667" s="4" t="s">
        <v>2020</v>
      </c>
      <c r="H667" s="4" t="s">
        <v>2021</v>
      </c>
      <c r="I667" s="6" t="s">
        <v>13</v>
      </c>
    </row>
    <row r="668" spans="1:9">
      <c r="A668" s="4" t="s">
        <v>2022</v>
      </c>
      <c r="B668" s="4" t="s">
        <v>183</v>
      </c>
      <c r="C668" s="5" t="n">
        <v>13</v>
      </c>
      <c r="D668" s="5" t="n">
        <v>11.35</v>
      </c>
      <c r="E668" s="5" t="n">
        <v>6</v>
      </c>
      <c r="F668" s="4" t="s">
        <v>10</v>
      </c>
      <c r="G668" s="4" t="s">
        <v>2023</v>
      </c>
      <c r="H668" s="4" t="s">
        <v>2024</v>
      </c>
      <c r="I668" s="6" t="s">
        <v>13</v>
      </c>
    </row>
    <row r="669" spans="1:9">
      <c r="A669" s="4" t="s">
        <v>2025</v>
      </c>
      <c r="B669" s="4" t="s">
        <v>183</v>
      </c>
      <c r="C669" s="5" t="n">
        <v>22</v>
      </c>
      <c r="F669" s="4" t="s">
        <v>10</v>
      </c>
      <c r="G669" s="4" t="s">
        <v>2026</v>
      </c>
      <c r="H669" s="4" t="s">
        <v>2027</v>
      </c>
      <c r="I669" s="6" t="s">
        <v>13</v>
      </c>
    </row>
    <row r="670" spans="1:9">
      <c r="A670" s="4" t="s">
        <v>2028</v>
      </c>
      <c r="B670" s="4" t="s">
        <v>77</v>
      </c>
      <c r="C670" s="5" t="n">
        <v>3.5</v>
      </c>
      <c r="D670" s="5" t="n">
        <v>2.07</v>
      </c>
      <c r="E670" s="5" t="n">
        <v>42</v>
      </c>
      <c r="F670" s="4" t="s">
        <v>10</v>
      </c>
      <c r="G670" s="4" t="s">
        <v>2029</v>
      </c>
      <c r="H670" s="4" t="s">
        <v>2030</v>
      </c>
      <c r="I670" s="6" t="s">
        <v>13</v>
      </c>
    </row>
    <row r="671" spans="1:9">
      <c r="A671" s="4" t="s">
        <v>2031</v>
      </c>
      <c r="B671" s="4" t="s">
        <v>77</v>
      </c>
      <c r="C671" s="5" t="n">
        <v>1</v>
      </c>
      <c r="E671" s="5" t="n">
        <v>-30</v>
      </c>
      <c r="F671" s="4" t="s">
        <v>10</v>
      </c>
      <c r="G671" s="4" t="s">
        <v>2032</v>
      </c>
      <c r="H671" s="4" t="s">
        <v>2033</v>
      </c>
      <c r="I671" s="6" t="s">
        <v>13</v>
      </c>
    </row>
    <row r="672" spans="1:9">
      <c r="A672" s="4" t="s">
        <v>2034</v>
      </c>
      <c r="B672" s="4" t="s">
        <v>77</v>
      </c>
      <c r="C672" s="5" t="n">
        <v>0.5</v>
      </c>
      <c r="E672" s="5" t="n">
        <v>-40</v>
      </c>
      <c r="F672" s="4" t="s">
        <v>10</v>
      </c>
      <c r="G672" s="4" t="s">
        <v>2035</v>
      </c>
      <c r="H672" s="4" t="s">
        <v>2036</v>
      </c>
      <c r="I672" s="6" t="s">
        <v>13</v>
      </c>
    </row>
    <row r="673" spans="1:9">
      <c r="A673" s="4" t="s">
        <v>2037</v>
      </c>
      <c r="B673" s="4" t="s">
        <v>820</v>
      </c>
      <c r="C673" s="5" t="n">
        <v>4.5</v>
      </c>
      <c r="E673" s="5" t="n">
        <v>-3</v>
      </c>
      <c r="F673" s="4" t="s">
        <v>10</v>
      </c>
      <c r="G673" s="4" t="s">
        <v>2038</v>
      </c>
      <c r="H673" s="4" t="s">
        <v>2039</v>
      </c>
      <c r="I673" s="6" t="s">
        <v>13</v>
      </c>
    </row>
    <row r="674" spans="1:9">
      <c r="A674" s="4" t="s">
        <v>2040</v>
      </c>
      <c r="B674" s="4" t="s">
        <v>39</v>
      </c>
      <c r="C674" s="5" t="n">
        <v>7.99</v>
      </c>
      <c r="E674" s="5" t="n">
        <v>3</v>
      </c>
      <c r="F674" s="4" t="s">
        <v>10</v>
      </c>
      <c r="G674" s="4" t="s">
        <v>2041</v>
      </c>
      <c r="H674" s="4" t="s">
        <v>2042</v>
      </c>
      <c r="I674" s="6" t="s">
        <v>13</v>
      </c>
    </row>
    <row r="675" spans="1:9">
      <c r="A675" s="4" t="s">
        <v>2043</v>
      </c>
      <c r="B675" s="4" t="s">
        <v>39</v>
      </c>
      <c r="F675" s="4" t="s">
        <v>10</v>
      </c>
      <c r="G675" s="4" t="s">
        <v>2044</v>
      </c>
      <c r="H675" s="4" t="s">
        <v>2045</v>
      </c>
      <c r="I675" s="6" t="s">
        <v>13</v>
      </c>
    </row>
    <row r="676" spans="1:9">
      <c r="A676" s="4" t="s">
        <v>2046</v>
      </c>
      <c r="B676" s="4" t="s">
        <v>39</v>
      </c>
      <c r="C676" s="5" t="n">
        <v>7.99</v>
      </c>
      <c r="E676" s="5" t="n">
        <v>14</v>
      </c>
      <c r="F676" s="4" t="s">
        <v>10</v>
      </c>
      <c r="G676" s="4" t="s">
        <v>2047</v>
      </c>
      <c r="H676" s="4" t="s">
        <v>2048</v>
      </c>
      <c r="I676" s="6" t="s">
        <v>13</v>
      </c>
    </row>
    <row r="677" spans="1:9">
      <c r="A677" s="4" t="s">
        <v>2049</v>
      </c>
      <c r="B677" s="4" t="s">
        <v>39</v>
      </c>
      <c r="C677" s="5" t="n">
        <v>9.99</v>
      </c>
      <c r="E677" s="5" t="n">
        <v>44</v>
      </c>
      <c r="F677" s="4" t="s">
        <v>10</v>
      </c>
      <c r="G677" s="4" t="s">
        <v>2050</v>
      </c>
      <c r="H677" s="4" t="s">
        <v>2051</v>
      </c>
      <c r="I677" s="6" t="s">
        <v>13</v>
      </c>
    </row>
    <row r="678" spans="1:9">
      <c r="A678" s="4" t="s">
        <v>2052</v>
      </c>
      <c r="B678" s="4" t="s">
        <v>39</v>
      </c>
      <c r="C678" s="5" t="n">
        <v>9.99</v>
      </c>
      <c r="D678" s="5" t="n">
        <v>2.92</v>
      </c>
      <c r="E678" s="5" t="n">
        <v>74</v>
      </c>
      <c r="F678" s="4" t="s">
        <v>10</v>
      </c>
      <c r="G678" s="4" t="s">
        <v>2053</v>
      </c>
      <c r="H678" s="4" t="s">
        <v>2054</v>
      </c>
      <c r="I678" s="6" t="s">
        <v>13</v>
      </c>
    </row>
    <row r="679" spans="1:9">
      <c r="A679" s="4" t="s">
        <v>2055</v>
      </c>
      <c r="B679" s="4" t="s">
        <v>39</v>
      </c>
      <c r="C679" s="5" t="n">
        <v>10.49</v>
      </c>
      <c r="E679" s="5" t="n">
        <v>-7</v>
      </c>
      <c r="F679" s="4" t="s">
        <v>10</v>
      </c>
      <c r="G679" s="4" t="s">
        <v>2056</v>
      </c>
      <c r="H679" s="4" t="s">
        <v>2057</v>
      </c>
      <c r="I679" s="6" t="s">
        <v>13</v>
      </c>
    </row>
    <row r="680" spans="1:9">
      <c r="A680" s="4" t="s">
        <v>2058</v>
      </c>
      <c r="B680" s="4" t="s">
        <v>39</v>
      </c>
      <c r="C680" s="5" t="n">
        <v>9.99</v>
      </c>
      <c r="E680" s="5" t="n">
        <v>21</v>
      </c>
      <c r="F680" s="4" t="s">
        <v>10</v>
      </c>
      <c r="G680" s="4" t="s">
        <v>2059</v>
      </c>
      <c r="H680" s="4" t="s">
        <v>2060</v>
      </c>
      <c r="I680" s="6" t="s">
        <v>13</v>
      </c>
    </row>
    <row r="681" spans="1:9">
      <c r="A681" s="4" t="s">
        <v>2061</v>
      </c>
      <c r="B681" s="4" t="s">
        <v>39</v>
      </c>
      <c r="C681" s="5" t="n">
        <v>5.49</v>
      </c>
      <c r="E681" s="5" t="n">
        <v>46</v>
      </c>
      <c r="F681" s="4" t="s">
        <v>10</v>
      </c>
      <c r="G681" s="4" t="s">
        <v>2062</v>
      </c>
      <c r="H681" s="4" t="s">
        <v>2063</v>
      </c>
      <c r="I681" s="6" t="s">
        <v>13</v>
      </c>
    </row>
    <row r="682" spans="1:9">
      <c r="A682" s="4" t="s">
        <v>2064</v>
      </c>
      <c r="B682" s="4" t="s">
        <v>39</v>
      </c>
      <c r="C682" s="5" t="n">
        <v>5.49</v>
      </c>
      <c r="D682" s="5" t="n">
        <v>3.91</v>
      </c>
      <c r="E682" s="5" t="n">
        <v>69</v>
      </c>
      <c r="F682" s="4" t="s">
        <v>10</v>
      </c>
      <c r="G682" s="4" t="s">
        <v>2065</v>
      </c>
      <c r="H682" s="4" t="s">
        <v>2066</v>
      </c>
      <c r="I682" s="6" t="s">
        <v>13</v>
      </c>
    </row>
    <row r="683" spans="1:9">
      <c r="A683" s="4" t="s">
        <v>2067</v>
      </c>
      <c r="B683" s="4" t="s">
        <v>39</v>
      </c>
      <c r="C683" s="5" t="n">
        <v>7.99</v>
      </c>
      <c r="E683" s="5" t="n">
        <v>6</v>
      </c>
      <c r="F683" s="4" t="s">
        <v>10</v>
      </c>
      <c r="G683" s="4" t="s">
        <v>2068</v>
      </c>
      <c r="H683" s="4" t="s">
        <v>2069</v>
      </c>
      <c r="I683" s="6" t="s">
        <v>13</v>
      </c>
    </row>
    <row r="684" spans="1:9">
      <c r="A684" s="4" t="s">
        <v>2070</v>
      </c>
      <c r="B684" s="4" t="s">
        <v>39</v>
      </c>
      <c r="C684" s="5" t="n">
        <v>6.5</v>
      </c>
      <c r="E684" s="5" t="n">
        <v>19</v>
      </c>
      <c r="F684" s="4" t="s">
        <v>10</v>
      </c>
      <c r="G684" s="4" t="s">
        <v>2071</v>
      </c>
      <c r="H684" s="4" t="s">
        <v>2072</v>
      </c>
      <c r="I684" s="6" t="s">
        <v>13</v>
      </c>
    </row>
    <row r="685" spans="1:9">
      <c r="A685" s="4" t="s">
        <v>2073</v>
      </c>
      <c r="B685" s="4" t="s">
        <v>39</v>
      </c>
      <c r="C685" s="5" t="n">
        <v>7.99</v>
      </c>
      <c r="E685" s="5" t="n">
        <v>42</v>
      </c>
      <c r="F685" s="4" t="s">
        <v>10</v>
      </c>
      <c r="G685" s="4" t="s">
        <v>2074</v>
      </c>
      <c r="H685" s="4" t="s">
        <v>2075</v>
      </c>
      <c r="I685" s="6" t="s">
        <v>13</v>
      </c>
    </row>
    <row r="686" spans="1:9">
      <c r="A686" s="4" t="s">
        <v>2076</v>
      </c>
      <c r="B686" s="4" t="s">
        <v>39</v>
      </c>
      <c r="C686" s="5" t="n">
        <v>7.99</v>
      </c>
      <c r="E686" s="5" t="n">
        <v>38</v>
      </c>
      <c r="F686" s="4" t="s">
        <v>10</v>
      </c>
      <c r="G686" s="4" t="s">
        <v>2077</v>
      </c>
      <c r="H686" s="4" t="s">
        <v>2078</v>
      </c>
      <c r="I686" s="6" t="s">
        <v>13</v>
      </c>
    </row>
    <row r="687" spans="1:9">
      <c r="A687" s="4" t="s">
        <v>2079</v>
      </c>
      <c r="B687" s="4" t="s">
        <v>39</v>
      </c>
      <c r="C687" s="5" t="n">
        <v>7.99</v>
      </c>
      <c r="D687" s="5" t="n">
        <v>4.34</v>
      </c>
      <c r="E687" s="5" t="n">
        <v>38</v>
      </c>
      <c r="F687" s="4" t="s">
        <v>10</v>
      </c>
      <c r="G687" s="4" t="s">
        <v>2080</v>
      </c>
      <c r="H687" s="4" t="s">
        <v>2081</v>
      </c>
      <c r="I687" s="6" t="s">
        <v>13</v>
      </c>
    </row>
    <row r="688" spans="1:9">
      <c r="A688" s="4" t="s">
        <v>2082</v>
      </c>
      <c r="B688" s="4" t="s">
        <v>39</v>
      </c>
      <c r="C688" s="5" t="n">
        <v>8</v>
      </c>
      <c r="D688" s="5" t="n">
        <v>2.65</v>
      </c>
      <c r="E688" s="5" t="n">
        <v>67</v>
      </c>
      <c r="F688" s="4" t="s">
        <v>10</v>
      </c>
      <c r="G688" s="4" t="s">
        <v>2083</v>
      </c>
      <c r="H688" s="4" t="s">
        <v>2084</v>
      </c>
      <c r="I688" s="6" t="s">
        <v>13</v>
      </c>
    </row>
    <row r="689" spans="1:9">
      <c r="A689" s="4" t="s">
        <v>2085</v>
      </c>
      <c r="B689" s="4" t="s">
        <v>39</v>
      </c>
      <c r="C689" s="5" t="n">
        <v>8.49</v>
      </c>
      <c r="E689" s="5" t="n">
        <v>86</v>
      </c>
      <c r="F689" s="4" t="s">
        <v>10</v>
      </c>
      <c r="G689" s="4" t="s">
        <v>2086</v>
      </c>
      <c r="H689" s="4" t="s">
        <v>2087</v>
      </c>
      <c r="I689" s="6" t="s">
        <v>13</v>
      </c>
    </row>
    <row r="690" spans="1:9">
      <c r="A690" s="4" t="s">
        <v>2088</v>
      </c>
      <c r="B690" s="4" t="s">
        <v>39</v>
      </c>
      <c r="C690" s="5" t="n">
        <v>7.99</v>
      </c>
      <c r="E690" s="5" t="n">
        <v>33</v>
      </c>
      <c r="F690" s="4" t="s">
        <v>10</v>
      </c>
      <c r="G690" s="4" t="s">
        <v>2089</v>
      </c>
      <c r="H690" s="4" t="s">
        <v>2090</v>
      </c>
      <c r="I690" s="6" t="s">
        <v>13</v>
      </c>
    </row>
    <row r="691" spans="1:9">
      <c r="A691" s="4" t="s">
        <v>2091</v>
      </c>
      <c r="B691" s="4" t="s">
        <v>39</v>
      </c>
      <c r="C691" s="5" t="n">
        <v>19.99</v>
      </c>
      <c r="E691" s="5" t="n">
        <v>15</v>
      </c>
      <c r="F691" s="4" t="s">
        <v>10</v>
      </c>
      <c r="G691" s="4" t="s">
        <v>2092</v>
      </c>
      <c r="H691" s="4" t="s">
        <v>2093</v>
      </c>
      <c r="I691" s="6" t="s">
        <v>13</v>
      </c>
    </row>
    <row r="692" spans="1:9">
      <c r="A692" s="4" t="s">
        <v>2094</v>
      </c>
      <c r="B692" s="4" t="s">
        <v>39</v>
      </c>
      <c r="C692" s="5" t="n">
        <v>18.99</v>
      </c>
      <c r="D692" s="5" t="n">
        <v>6.49</v>
      </c>
      <c r="E692" s="5" t="n">
        <v>39</v>
      </c>
      <c r="F692" s="4" t="s">
        <v>10</v>
      </c>
      <c r="G692" s="4" t="s">
        <v>2095</v>
      </c>
      <c r="H692" s="4" t="s">
        <v>2096</v>
      </c>
      <c r="I692" s="6" t="s">
        <v>13</v>
      </c>
    </row>
    <row r="693" spans="1:9">
      <c r="A693" s="4" t="s">
        <v>2097</v>
      </c>
      <c r="B693" s="4" t="s">
        <v>39</v>
      </c>
      <c r="C693" s="5" t="n">
        <v>19.99</v>
      </c>
      <c r="D693" s="5" t="n">
        <v>5.01</v>
      </c>
      <c r="E693" s="5" t="n">
        <v>55</v>
      </c>
      <c r="F693" s="4" t="s">
        <v>10</v>
      </c>
      <c r="G693" s="4" t="s">
        <v>2098</v>
      </c>
      <c r="H693" s="4" t="s">
        <v>2099</v>
      </c>
      <c r="I693" s="6" t="s">
        <v>13</v>
      </c>
    </row>
    <row r="694" spans="1:9">
      <c r="A694" s="4" t="s">
        <v>2100</v>
      </c>
      <c r="B694" s="4" t="s">
        <v>39</v>
      </c>
      <c r="C694" s="5" t="n">
        <v>18.99</v>
      </c>
      <c r="E694" s="5" t="n">
        <v>52</v>
      </c>
      <c r="F694" s="4" t="s">
        <v>10</v>
      </c>
      <c r="G694" s="4" t="s">
        <v>2101</v>
      </c>
      <c r="H694" s="4" t="s">
        <v>2102</v>
      </c>
      <c r="I694" s="6" t="s">
        <v>13</v>
      </c>
    </row>
    <row r="695" spans="1:9">
      <c r="A695" s="4" t="s">
        <v>2103</v>
      </c>
      <c r="B695" s="4" t="s">
        <v>39</v>
      </c>
      <c r="C695" s="5" t="n">
        <v>19.99</v>
      </c>
      <c r="D695" s="5" t="n">
        <v>4.6</v>
      </c>
      <c r="E695" s="5" t="n">
        <v>50</v>
      </c>
      <c r="F695" s="4" t="s">
        <v>10</v>
      </c>
      <c r="G695" s="4" t="s">
        <v>2104</v>
      </c>
      <c r="H695" s="4" t="s">
        <v>2105</v>
      </c>
      <c r="I695" s="6" t="s">
        <v>13</v>
      </c>
    </row>
    <row r="696" spans="1:9">
      <c r="A696" s="4" t="s">
        <v>2106</v>
      </c>
      <c r="B696" s="4" t="s">
        <v>39</v>
      </c>
      <c r="C696" s="5" t="n">
        <v>19.99</v>
      </c>
      <c r="D696" s="5" t="n">
        <v>5.18</v>
      </c>
      <c r="E696" s="5" t="n">
        <v>54</v>
      </c>
      <c r="F696" s="4" t="s">
        <v>10</v>
      </c>
      <c r="G696" s="4" t="s">
        <v>2107</v>
      </c>
      <c r="H696" s="4" t="s">
        <v>2108</v>
      </c>
      <c r="I696" s="6" t="s">
        <v>13</v>
      </c>
    </row>
    <row r="697" spans="1:9">
      <c r="A697" s="4" t="s">
        <v>2109</v>
      </c>
      <c r="B697" s="4" t="s">
        <v>39</v>
      </c>
      <c r="C697" s="5" t="n">
        <v>19.99</v>
      </c>
      <c r="D697" s="5" t="n">
        <v>6.36</v>
      </c>
      <c r="E697" s="5" t="n">
        <v>38</v>
      </c>
      <c r="F697" s="4" t="s">
        <v>10</v>
      </c>
      <c r="G697" s="4" t="s">
        <v>2110</v>
      </c>
      <c r="H697" s="4" t="s">
        <v>2111</v>
      </c>
      <c r="I697" s="6" t="s">
        <v>13</v>
      </c>
    </row>
    <row r="698" spans="1:9">
      <c r="A698" s="4" t="s">
        <v>2112</v>
      </c>
      <c r="B698" s="4" t="s">
        <v>39</v>
      </c>
      <c r="C698" s="5" t="n">
        <v>10.49</v>
      </c>
      <c r="E698" s="5" t="n">
        <v>40</v>
      </c>
      <c r="F698" s="4" t="s">
        <v>10</v>
      </c>
      <c r="G698" s="4" t="s">
        <v>2113</v>
      </c>
      <c r="H698" s="4" t="s">
        <v>2114</v>
      </c>
      <c r="I698" s="6" t="s">
        <v>13</v>
      </c>
    </row>
    <row r="699" spans="1:9">
      <c r="A699" s="4" t="s">
        <v>2115</v>
      </c>
      <c r="B699" s="4" t="s">
        <v>39</v>
      </c>
      <c r="C699" s="5" t="n">
        <v>10.49</v>
      </c>
      <c r="D699" s="5" t="n">
        <v>2.96</v>
      </c>
      <c r="E699" s="5" t="n">
        <v>57</v>
      </c>
      <c r="F699" s="4" t="s">
        <v>10</v>
      </c>
      <c r="G699" s="4" t="s">
        <v>2116</v>
      </c>
      <c r="H699" s="4" t="s">
        <v>2117</v>
      </c>
      <c r="I699" s="6" t="s">
        <v>13</v>
      </c>
    </row>
    <row r="700" spans="1:9">
      <c r="A700" s="4" t="s">
        <v>2118</v>
      </c>
      <c r="B700" s="4" t="s">
        <v>39</v>
      </c>
      <c r="C700" s="5" t="n">
        <v>10.49</v>
      </c>
      <c r="D700" s="5" t="n">
        <v>4.29</v>
      </c>
      <c r="E700" s="5" t="n">
        <v>40</v>
      </c>
      <c r="F700" s="4" t="s">
        <v>10</v>
      </c>
      <c r="G700" s="4" t="s">
        <v>2119</v>
      </c>
      <c r="H700" s="4" t="s">
        <v>2120</v>
      </c>
      <c r="I700" s="6" t="s">
        <v>13</v>
      </c>
    </row>
    <row r="701" spans="1:9">
      <c r="A701" s="4" t="s">
        <v>2121</v>
      </c>
      <c r="B701" s="4" t="s">
        <v>51</v>
      </c>
      <c r="C701" s="5" t="n">
        <v>15</v>
      </c>
      <c r="E701" s="5" t="n">
        <v>-11</v>
      </c>
      <c r="F701" s="4" t="s">
        <v>10</v>
      </c>
      <c r="G701" s="4" t="s">
        <v>2122</v>
      </c>
      <c r="H701" s="4" t="s">
        <v>2123</v>
      </c>
      <c r="I701" s="6" t="s">
        <v>13</v>
      </c>
    </row>
    <row r="702" spans="1:9">
      <c r="A702" s="4" t="s">
        <v>2124</v>
      </c>
      <c r="B702" s="4" t="s">
        <v>51</v>
      </c>
      <c r="C702" s="5" t="n">
        <v>15</v>
      </c>
      <c r="E702" s="5" t="n">
        <v>-16</v>
      </c>
      <c r="F702" s="4" t="s">
        <v>10</v>
      </c>
      <c r="G702" s="4" t="s">
        <v>2125</v>
      </c>
      <c r="H702" s="4" t="s">
        <v>2126</v>
      </c>
      <c r="I702" s="6" t="s">
        <v>13</v>
      </c>
    </row>
    <row r="703" spans="1:9">
      <c r="A703" s="4" t="s">
        <v>2127</v>
      </c>
      <c r="B703" s="4" t="s">
        <v>341</v>
      </c>
      <c r="F703" s="4" t="s">
        <v>263</v>
      </c>
      <c r="G703" s="4" t="s">
        <v>2128</v>
      </c>
      <c r="H703" s="4" t="s">
        <v>2129</v>
      </c>
      <c r="I703" s="6" t="s">
        <v>13</v>
      </c>
    </row>
    <row r="704" spans="1:9">
      <c r="A704" s="4" t="s">
        <v>2130</v>
      </c>
      <c r="B704" s="4" t="s">
        <v>341</v>
      </c>
      <c r="F704" s="4" t="s">
        <v>263</v>
      </c>
      <c r="G704" s="4" t="s">
        <v>2131</v>
      </c>
      <c r="H704" s="4" t="s">
        <v>2132</v>
      </c>
      <c r="I704" s="6" t="s">
        <v>13</v>
      </c>
    </row>
    <row r="705" spans="1:9">
      <c r="A705" s="4" t="s">
        <v>2133</v>
      </c>
      <c r="B705" s="4" t="s">
        <v>77</v>
      </c>
      <c r="C705" s="5" t="n">
        <v>4</v>
      </c>
      <c r="D705" s="5" t="n">
        <v>0.31</v>
      </c>
      <c r="F705" s="4" t="s">
        <v>10</v>
      </c>
      <c r="G705" s="4" t="s">
        <v>2134</v>
      </c>
      <c r="H705" s="4" t="s">
        <v>2135</v>
      </c>
      <c r="I705" s="6" t="s">
        <v>13</v>
      </c>
    </row>
    <row r="706" spans="1:9">
      <c r="A706" s="4" t="s">
        <v>2136</v>
      </c>
      <c r="B706" s="4" t="s">
        <v>2137</v>
      </c>
      <c r="C706" s="5" t="n">
        <v>7.9</v>
      </c>
      <c r="D706" s="5" t="n">
        <v>1.19</v>
      </c>
      <c r="E706" s="5" t="n">
        <v>10</v>
      </c>
      <c r="F706" s="4" t="s">
        <v>10</v>
      </c>
      <c r="G706" s="4" t="s">
        <v>2138</v>
      </c>
      <c r="H706" s="4" t="s">
        <v>2139</v>
      </c>
      <c r="I706" s="6" t="s">
        <v>13</v>
      </c>
    </row>
    <row r="707" spans="1:9">
      <c r="A707" s="4" t="s">
        <v>2140</v>
      </c>
      <c r="B707" s="4" t="s">
        <v>2141</v>
      </c>
      <c r="C707" s="5" t="n">
        <v>7.9</v>
      </c>
      <c r="D707" s="5" t="n">
        <v>1.19</v>
      </c>
      <c r="E707" s="5" t="n">
        <v>10</v>
      </c>
      <c r="F707" s="4" t="s">
        <v>10</v>
      </c>
      <c r="G707" s="4" t="s">
        <v>2142</v>
      </c>
      <c r="H707" s="4" t="s">
        <v>2143</v>
      </c>
      <c r="I707" s="6" t="s">
        <v>13</v>
      </c>
    </row>
    <row r="708" spans="1:9">
      <c r="A708" s="4" t="s">
        <v>2144</v>
      </c>
      <c r="B708" s="4" t="s">
        <v>2137</v>
      </c>
      <c r="C708" s="5" t="n">
        <v>7.9</v>
      </c>
      <c r="F708" s="4" t="s">
        <v>10</v>
      </c>
      <c r="G708" s="4" t="s">
        <v>2145</v>
      </c>
      <c r="H708" s="4" t="s">
        <v>2146</v>
      </c>
      <c r="I708" s="6" t="s">
        <v>13</v>
      </c>
    </row>
    <row r="709" spans="1:9">
      <c r="A709" s="4" t="s">
        <v>2147</v>
      </c>
      <c r="B709" s="4" t="s">
        <v>2137</v>
      </c>
      <c r="C709" s="5" t="n">
        <v>7.9</v>
      </c>
      <c r="F709" s="4" t="s">
        <v>10</v>
      </c>
      <c r="G709" s="4" t="s">
        <v>2148</v>
      </c>
      <c r="H709" s="4" t="s">
        <v>2149</v>
      </c>
      <c r="I709" s="6" t="s">
        <v>13</v>
      </c>
    </row>
    <row r="710" spans="1:9">
      <c r="A710" s="4" t="s">
        <v>2150</v>
      </c>
      <c r="B710" s="4" t="s">
        <v>2137</v>
      </c>
      <c r="C710" s="5" t="n">
        <v>7.9</v>
      </c>
      <c r="F710" s="4" t="s">
        <v>10</v>
      </c>
      <c r="G710" s="4" t="s">
        <v>2151</v>
      </c>
      <c r="H710" s="4" t="s">
        <v>2152</v>
      </c>
      <c r="I710" s="6" t="s">
        <v>13</v>
      </c>
    </row>
    <row r="711" spans="1:9">
      <c r="A711" s="4" t="s">
        <v>2153</v>
      </c>
      <c r="B711" s="4" t="s">
        <v>2137</v>
      </c>
      <c r="C711" s="5" t="n">
        <v>7.9</v>
      </c>
      <c r="F711" s="4" t="s">
        <v>10</v>
      </c>
      <c r="G711" s="4" t="s">
        <v>2154</v>
      </c>
      <c r="H711" s="4" t="s">
        <v>2155</v>
      </c>
      <c r="I711" s="6" t="s">
        <v>13</v>
      </c>
    </row>
    <row r="712" spans="1:9">
      <c r="A712" s="4" t="s">
        <v>2156</v>
      </c>
      <c r="B712" s="4" t="s">
        <v>2137</v>
      </c>
      <c r="C712" s="5" t="n">
        <v>7.9</v>
      </c>
      <c r="F712" s="4" t="s">
        <v>10</v>
      </c>
      <c r="G712" s="4" t="s">
        <v>2157</v>
      </c>
      <c r="H712" s="4" t="s">
        <v>2158</v>
      </c>
      <c r="I712" s="6" t="s">
        <v>13</v>
      </c>
    </row>
    <row r="713" spans="1:9">
      <c r="A713" s="4" t="s">
        <v>2159</v>
      </c>
      <c r="B713" s="4" t="s">
        <v>2137</v>
      </c>
      <c r="C713" s="5" t="n">
        <v>7.9</v>
      </c>
      <c r="F713" s="4" t="s">
        <v>10</v>
      </c>
      <c r="G713" s="4" t="s">
        <v>2160</v>
      </c>
      <c r="H713" s="4" t="s">
        <v>2161</v>
      </c>
      <c r="I713" s="6" t="s">
        <v>13</v>
      </c>
    </row>
    <row r="714" spans="1:9">
      <c r="A714" s="4" t="s">
        <v>2162</v>
      </c>
      <c r="B714" s="4" t="s">
        <v>2137</v>
      </c>
      <c r="C714" s="5" t="n">
        <v>7.9</v>
      </c>
      <c r="F714" s="4" t="s">
        <v>10</v>
      </c>
      <c r="G714" s="4" t="s">
        <v>2163</v>
      </c>
      <c r="H714" s="4" t="s">
        <v>2164</v>
      </c>
      <c r="I714" s="6" t="s">
        <v>13</v>
      </c>
    </row>
    <row r="715" spans="1:9">
      <c r="A715" s="4" t="s">
        <v>2165</v>
      </c>
      <c r="B715" s="4" t="s">
        <v>2137</v>
      </c>
      <c r="C715" s="5" t="n">
        <v>7.9</v>
      </c>
      <c r="D715" s="5" t="n">
        <v>2.79</v>
      </c>
      <c r="E715" s="5" t="n">
        <v>8</v>
      </c>
      <c r="F715" s="4" t="s">
        <v>10</v>
      </c>
      <c r="G715" s="4" t="s">
        <v>2166</v>
      </c>
      <c r="H715" s="4" t="s">
        <v>2167</v>
      </c>
      <c r="I715" s="6" t="s">
        <v>13</v>
      </c>
    </row>
    <row r="716" spans="1:9">
      <c r="A716" s="4" t="s">
        <v>2168</v>
      </c>
      <c r="B716" s="4" t="s">
        <v>2137</v>
      </c>
      <c r="C716" s="5" t="n">
        <v>7.9</v>
      </c>
      <c r="F716" s="4" t="s">
        <v>10</v>
      </c>
      <c r="G716" s="4" t="s">
        <v>2169</v>
      </c>
      <c r="H716" s="4" t="s">
        <v>2170</v>
      </c>
      <c r="I716" s="6" t="s">
        <v>13</v>
      </c>
    </row>
    <row r="717" spans="1:9">
      <c r="A717" s="4" t="s">
        <v>2171</v>
      </c>
      <c r="B717" s="4" t="s">
        <v>2137</v>
      </c>
      <c r="C717" s="5" t="n">
        <v>7.9</v>
      </c>
      <c r="F717" s="4" t="s">
        <v>10</v>
      </c>
      <c r="G717" s="4" t="s">
        <v>2172</v>
      </c>
      <c r="H717" s="4" t="s">
        <v>2173</v>
      </c>
      <c r="I717" s="6" t="s">
        <v>13</v>
      </c>
    </row>
    <row r="718" spans="1:9">
      <c r="A718" s="4" t="s">
        <v>2174</v>
      </c>
      <c r="B718" s="4" t="s">
        <v>27</v>
      </c>
      <c r="C718" s="5" t="n">
        <v>14.9</v>
      </c>
      <c r="D718" s="5" t="n">
        <v>3.62</v>
      </c>
      <c r="F718" s="4" t="s">
        <v>10</v>
      </c>
      <c r="G718" s="4" t="s">
        <v>2175</v>
      </c>
      <c r="H718" s="4" t="s">
        <v>2176</v>
      </c>
      <c r="I718" s="6" t="s">
        <v>13</v>
      </c>
    </row>
    <row r="719" spans="1:9">
      <c r="A719" s="4" t="s">
        <v>2177</v>
      </c>
      <c r="B719" s="4" t="s">
        <v>27</v>
      </c>
      <c r="C719" s="5" t="n">
        <v>18.9</v>
      </c>
      <c r="D719" s="5" t="n">
        <v>3.98</v>
      </c>
      <c r="F719" s="4" t="s">
        <v>10</v>
      </c>
      <c r="G719" s="4" t="s">
        <v>2178</v>
      </c>
      <c r="H719" s="4" t="s">
        <v>2179</v>
      </c>
      <c r="I719" s="6" t="s">
        <v>13</v>
      </c>
    </row>
    <row r="720" spans="1:9">
      <c r="A720" s="4" t="s">
        <v>2180</v>
      </c>
      <c r="B720" s="4" t="s">
        <v>27</v>
      </c>
      <c r="C720" s="5" t="n">
        <v>21.9</v>
      </c>
      <c r="F720" s="4" t="s">
        <v>10</v>
      </c>
      <c r="G720" s="4" t="s">
        <v>2181</v>
      </c>
      <c r="H720" s="4" t="s">
        <v>2182</v>
      </c>
      <c r="I720" s="6" t="s">
        <v>13</v>
      </c>
    </row>
    <row r="721" spans="1:9">
      <c r="A721" s="4" t="s">
        <v>2183</v>
      </c>
      <c r="B721" s="4" t="s">
        <v>27</v>
      </c>
      <c r="C721" s="5" t="n">
        <v>36.9</v>
      </c>
      <c r="D721" s="5" t="n">
        <v>15.93</v>
      </c>
      <c r="F721" s="4" t="s">
        <v>10</v>
      </c>
      <c r="G721" s="4" t="s">
        <v>2184</v>
      </c>
      <c r="H721" s="4" t="s">
        <v>2185</v>
      </c>
      <c r="I721" s="6" t="s">
        <v>13</v>
      </c>
    </row>
    <row r="722" spans="1:9">
      <c r="A722" s="4" t="s">
        <v>2186</v>
      </c>
      <c r="B722" s="4" t="s">
        <v>27</v>
      </c>
      <c r="C722" s="5" t="n">
        <v>25.9</v>
      </c>
      <c r="D722" s="5" t="n">
        <v>8.88</v>
      </c>
      <c r="F722" s="4" t="s">
        <v>10</v>
      </c>
      <c r="G722" s="4" t="s">
        <v>2187</v>
      </c>
      <c r="H722" s="4" t="s">
        <v>2188</v>
      </c>
      <c r="I722" s="6" t="s">
        <v>13</v>
      </c>
    </row>
    <row r="723" spans="1:9">
      <c r="A723" s="4" t="s">
        <v>2189</v>
      </c>
      <c r="B723" s="4" t="s">
        <v>27</v>
      </c>
      <c r="C723" s="5" t="n">
        <v>15</v>
      </c>
      <c r="D723" s="5" t="n">
        <v>17.97</v>
      </c>
      <c r="F723" s="4" t="s">
        <v>10</v>
      </c>
      <c r="G723" s="4" t="s">
        <v>2190</v>
      </c>
      <c r="H723" s="4" t="s">
        <v>2191</v>
      </c>
      <c r="I723" s="6" t="s">
        <v>13</v>
      </c>
    </row>
    <row r="724" spans="1:9">
      <c r="A724" s="4" t="s">
        <v>2192</v>
      </c>
      <c r="B724" s="4" t="s">
        <v>27</v>
      </c>
      <c r="C724" s="5" t="n">
        <v>31.9</v>
      </c>
      <c r="D724" s="5" t="n">
        <v>16.52</v>
      </c>
      <c r="F724" s="4" t="s">
        <v>10</v>
      </c>
      <c r="G724" s="4" t="s">
        <v>2193</v>
      </c>
      <c r="H724" s="4" t="s">
        <v>2194</v>
      </c>
      <c r="I724" s="6" t="s">
        <v>13</v>
      </c>
    </row>
    <row r="725" spans="1:9">
      <c r="A725" s="4" t="s">
        <v>2195</v>
      </c>
      <c r="B725" s="4" t="s">
        <v>27</v>
      </c>
      <c r="C725" s="5" t="n">
        <v>17.9</v>
      </c>
      <c r="D725" s="5" t="n">
        <v>3.04</v>
      </c>
      <c r="F725" s="4" t="s">
        <v>10</v>
      </c>
      <c r="G725" s="4" t="s">
        <v>2196</v>
      </c>
      <c r="H725" s="4" t="s">
        <v>2197</v>
      </c>
      <c r="I725" s="6" t="s">
        <v>13</v>
      </c>
    </row>
    <row r="726" spans="1:9">
      <c r="A726" s="4" t="s">
        <v>2198</v>
      </c>
      <c r="B726" s="4" t="s">
        <v>27</v>
      </c>
      <c r="C726" s="5" t="n">
        <v>13.9</v>
      </c>
      <c r="D726" s="5" t="n">
        <v>2.23</v>
      </c>
      <c r="F726" s="4" t="s">
        <v>10</v>
      </c>
      <c r="G726" s="4" t="s">
        <v>2199</v>
      </c>
      <c r="H726" s="4" t="s">
        <v>2200</v>
      </c>
      <c r="I726" s="6" t="s">
        <v>13</v>
      </c>
    </row>
    <row r="727" spans="1:9">
      <c r="A727" s="4" t="s">
        <v>2201</v>
      </c>
      <c r="B727" s="4" t="s">
        <v>27</v>
      </c>
      <c r="C727" s="5" t="n">
        <v>12.9</v>
      </c>
      <c r="D727" s="5" t="n">
        <v>0.22</v>
      </c>
      <c r="F727" s="4" t="s">
        <v>10</v>
      </c>
      <c r="G727" s="4" t="s">
        <v>2202</v>
      </c>
      <c r="H727" s="4" t="s">
        <v>2203</v>
      </c>
      <c r="I727" s="6" t="s">
        <v>13</v>
      </c>
    </row>
    <row r="728" spans="1:9">
      <c r="A728" s="4" t="s">
        <v>2204</v>
      </c>
      <c r="B728" s="4" t="s">
        <v>27</v>
      </c>
      <c r="C728" s="5" t="n">
        <v>25.9</v>
      </c>
      <c r="D728" s="5" t="n">
        <v>8.5</v>
      </c>
      <c r="F728" s="4" t="s">
        <v>10</v>
      </c>
      <c r="G728" s="4" t="s">
        <v>2205</v>
      </c>
      <c r="H728" s="4" t="s">
        <v>2206</v>
      </c>
      <c r="I728" s="6" t="s">
        <v>13</v>
      </c>
    </row>
    <row r="729" spans="1:9">
      <c r="A729" s="4" t="s">
        <v>2207</v>
      </c>
      <c r="B729" s="4" t="s">
        <v>27</v>
      </c>
      <c r="C729" s="5" t="n">
        <v>7</v>
      </c>
      <c r="D729" s="5" t="n">
        <v>0.42</v>
      </c>
      <c r="F729" s="4" t="s">
        <v>10</v>
      </c>
      <c r="G729" s="4" t="s">
        <v>2208</v>
      </c>
      <c r="H729" s="4" t="s">
        <v>2209</v>
      </c>
      <c r="I729" s="6" t="s">
        <v>13</v>
      </c>
    </row>
    <row r="730" spans="1:9">
      <c r="A730" s="4" t="s">
        <v>2210</v>
      </c>
      <c r="B730" s="4" t="s">
        <v>27</v>
      </c>
      <c r="C730" s="5" t="n">
        <v>22.9</v>
      </c>
      <c r="D730" s="5" t="n">
        <v>0.56</v>
      </c>
      <c r="F730" s="4" t="s">
        <v>10</v>
      </c>
      <c r="G730" s="4" t="s">
        <v>2211</v>
      </c>
      <c r="H730" s="4" t="s">
        <v>2212</v>
      </c>
      <c r="I730" s="6" t="s">
        <v>13</v>
      </c>
    </row>
    <row r="731" spans="1:9">
      <c r="A731" s="4" t="s">
        <v>2213</v>
      </c>
      <c r="B731" s="4" t="s">
        <v>27</v>
      </c>
      <c r="C731" s="5" t="n">
        <v>7</v>
      </c>
      <c r="F731" s="4" t="s">
        <v>10</v>
      </c>
      <c r="G731" s="4" t="s">
        <v>2214</v>
      </c>
      <c r="H731" s="4" t="s">
        <v>2215</v>
      </c>
      <c r="I731" s="6" t="s">
        <v>13</v>
      </c>
    </row>
    <row r="732" spans="1:9">
      <c r="A732" s="4" t="s">
        <v>2216</v>
      </c>
      <c r="B732" s="4" t="s">
        <v>27</v>
      </c>
      <c r="C732" s="5" t="n">
        <v>26.9</v>
      </c>
      <c r="D732" s="5" t="n">
        <v>8.5</v>
      </c>
      <c r="F732" s="4" t="s">
        <v>10</v>
      </c>
      <c r="G732" s="4" t="s">
        <v>2217</v>
      </c>
      <c r="H732" s="4" t="s">
        <v>2218</v>
      </c>
      <c r="I732" s="6" t="s">
        <v>13</v>
      </c>
    </row>
    <row r="733" spans="1:9">
      <c r="A733" s="4" t="s">
        <v>2219</v>
      </c>
      <c r="B733" s="4" t="s">
        <v>27</v>
      </c>
      <c r="C733" s="5" t="n">
        <v>15</v>
      </c>
      <c r="D733" s="5" t="n">
        <v>4.47</v>
      </c>
      <c r="F733" s="4" t="s">
        <v>10</v>
      </c>
      <c r="G733" s="4" t="s">
        <v>2220</v>
      </c>
      <c r="H733" s="4" t="s">
        <v>2221</v>
      </c>
      <c r="I733" s="6" t="s">
        <v>13</v>
      </c>
    </row>
    <row r="734" spans="1:9">
      <c r="A734" s="4" t="s">
        <v>2222</v>
      </c>
      <c r="B734" s="4" t="s">
        <v>27</v>
      </c>
      <c r="C734" s="5" t="n">
        <v>8.9</v>
      </c>
      <c r="F734" s="4" t="s">
        <v>10</v>
      </c>
      <c r="G734" s="4" t="s">
        <v>2223</v>
      </c>
      <c r="H734" s="4" t="s">
        <v>2224</v>
      </c>
      <c r="I734" s="6" t="s">
        <v>13</v>
      </c>
    </row>
    <row r="735" spans="1:9">
      <c r="A735" s="4" t="s">
        <v>2225</v>
      </c>
      <c r="B735" s="4" t="s">
        <v>27</v>
      </c>
      <c r="C735" s="5" t="n">
        <v>12.9</v>
      </c>
      <c r="D735" s="5" t="n">
        <v>4.48</v>
      </c>
      <c r="F735" s="4" t="s">
        <v>10</v>
      </c>
      <c r="G735" s="4" t="s">
        <v>2226</v>
      </c>
      <c r="H735" s="4" t="s">
        <v>2227</v>
      </c>
      <c r="I735" s="6" t="s">
        <v>13</v>
      </c>
    </row>
    <row r="736" spans="1:9">
      <c r="A736" s="4" t="s">
        <v>2228</v>
      </c>
      <c r="B736" s="4" t="s">
        <v>27</v>
      </c>
      <c r="C736" s="5" t="n">
        <v>10.9</v>
      </c>
      <c r="F736" s="4" t="s">
        <v>10</v>
      </c>
      <c r="G736" s="4" t="s">
        <v>2229</v>
      </c>
      <c r="H736" s="4" t="s">
        <v>2230</v>
      </c>
      <c r="I736" s="6" t="s">
        <v>13</v>
      </c>
    </row>
    <row r="737" spans="1:9">
      <c r="A737" s="4" t="s">
        <v>2231</v>
      </c>
      <c r="B737" s="4" t="s">
        <v>27</v>
      </c>
      <c r="C737" s="5" t="n">
        <v>9.9</v>
      </c>
      <c r="D737" s="5" t="n">
        <v>0.7</v>
      </c>
      <c r="F737" s="4" t="s">
        <v>10</v>
      </c>
      <c r="G737" s="4" t="s">
        <v>2232</v>
      </c>
      <c r="H737" s="4" t="s">
        <v>2233</v>
      </c>
      <c r="I737" s="6" t="s">
        <v>13</v>
      </c>
    </row>
    <row r="738" spans="1:9">
      <c r="A738" s="4" t="s">
        <v>2234</v>
      </c>
      <c r="B738" s="4" t="s">
        <v>27</v>
      </c>
      <c r="C738" s="5" t="n">
        <v>6.9</v>
      </c>
      <c r="D738" s="5" t="n">
        <v>0.53</v>
      </c>
      <c r="F738" s="4" t="s">
        <v>10</v>
      </c>
      <c r="G738" s="4" t="s">
        <v>2235</v>
      </c>
      <c r="H738" s="4" t="s">
        <v>2236</v>
      </c>
      <c r="I738" s="6" t="s">
        <v>13</v>
      </c>
    </row>
    <row r="739" spans="1:9">
      <c r="A739" s="4" t="s">
        <v>2237</v>
      </c>
      <c r="B739" s="4" t="s">
        <v>27</v>
      </c>
      <c r="C739" s="5" t="n">
        <v>8</v>
      </c>
      <c r="D739" s="5" t="n">
        <v>1.57</v>
      </c>
      <c r="F739" s="4" t="s">
        <v>10</v>
      </c>
      <c r="G739" s="4" t="s">
        <v>2238</v>
      </c>
      <c r="H739" s="4" t="s">
        <v>2239</v>
      </c>
      <c r="I739" s="6" t="s">
        <v>13</v>
      </c>
    </row>
    <row r="740" spans="1:9">
      <c r="A740" s="4" t="s">
        <v>2240</v>
      </c>
      <c r="B740" s="4" t="s">
        <v>27</v>
      </c>
      <c r="C740" s="5" t="n">
        <v>5.9</v>
      </c>
      <c r="F740" s="4" t="s">
        <v>10</v>
      </c>
      <c r="G740" s="4" t="s">
        <v>2241</v>
      </c>
      <c r="H740" s="4" t="s">
        <v>2242</v>
      </c>
      <c r="I740" s="6" t="s">
        <v>13</v>
      </c>
    </row>
    <row r="741" spans="1:9">
      <c r="A741" s="4" t="s">
        <v>2243</v>
      </c>
      <c r="B741" s="4" t="s">
        <v>51</v>
      </c>
      <c r="C741" s="5" t="n">
        <v>15</v>
      </c>
      <c r="E741" s="5" t="n">
        <v>-5</v>
      </c>
      <c r="F741" s="4" t="s">
        <v>10</v>
      </c>
      <c r="G741" s="4" t="s">
        <v>2244</v>
      </c>
      <c r="H741" s="4" t="s">
        <v>2245</v>
      </c>
      <c r="I741" s="6" t="s">
        <v>13</v>
      </c>
    </row>
    <row r="742" spans="1:9">
      <c r="A742" s="4" t="s">
        <v>2246</v>
      </c>
      <c r="B742" s="4" t="s">
        <v>77</v>
      </c>
      <c r="C742" s="5" t="n">
        <v>16</v>
      </c>
      <c r="D742" s="5" t="n">
        <v>10.74</v>
      </c>
      <c r="F742" s="4" t="s">
        <v>10</v>
      </c>
      <c r="G742" s="4" t="s">
        <v>2247</v>
      </c>
      <c r="H742" s="4" t="s">
        <v>2248</v>
      </c>
      <c r="I742" s="6" t="s">
        <v>13</v>
      </c>
    </row>
    <row r="743" spans="1:9">
      <c r="A743" s="4" t="s">
        <v>2249</v>
      </c>
      <c r="B743" s="4" t="s">
        <v>77</v>
      </c>
      <c r="C743" s="5" t="n">
        <v>16</v>
      </c>
      <c r="D743" s="5" t="n">
        <v>10.74</v>
      </c>
      <c r="E743" s="5" t="n">
        <v>1</v>
      </c>
      <c r="F743" s="4" t="s">
        <v>10</v>
      </c>
      <c r="G743" s="4" t="s">
        <v>2250</v>
      </c>
      <c r="H743" s="4" t="s">
        <v>2251</v>
      </c>
      <c r="I743" s="6" t="s">
        <v>13</v>
      </c>
    </row>
    <row r="744" spans="1:9">
      <c r="A744" s="4" t="s">
        <v>2252</v>
      </c>
      <c r="B744" s="4" t="s">
        <v>77</v>
      </c>
      <c r="C744" s="5" t="n">
        <v>2.5</v>
      </c>
      <c r="D744" s="5" t="n">
        <v>1.5</v>
      </c>
      <c r="E744" s="5" t="n">
        <v>26</v>
      </c>
      <c r="F744" s="4" t="s">
        <v>10</v>
      </c>
      <c r="G744" s="4" t="s">
        <v>2253</v>
      </c>
      <c r="H744" s="4" t="s">
        <v>2254</v>
      </c>
      <c r="I744" s="6" t="s">
        <v>13</v>
      </c>
    </row>
    <row r="745" spans="1:9">
      <c r="A745" s="4" t="s">
        <v>2255</v>
      </c>
      <c r="B745" s="4" t="s">
        <v>77</v>
      </c>
      <c r="C745" s="5" t="n">
        <v>2.5</v>
      </c>
      <c r="E745" s="5" t="n">
        <v>-3</v>
      </c>
      <c r="F745" s="4" t="s">
        <v>10</v>
      </c>
      <c r="G745" s="4" t="s">
        <v>2256</v>
      </c>
      <c r="H745" s="4" t="s">
        <v>2257</v>
      </c>
      <c r="I745" s="6" t="s">
        <v>13</v>
      </c>
    </row>
    <row r="746" spans="1:9">
      <c r="A746" s="4" t="s">
        <v>2258</v>
      </c>
      <c r="B746" s="4" t="s">
        <v>24</v>
      </c>
      <c r="C746" s="5" t="n">
        <v>12.9</v>
      </c>
      <c r="D746" s="5" t="n">
        <v>2.93</v>
      </c>
      <c r="F746" s="4" t="s">
        <v>10</v>
      </c>
      <c r="G746" s="4" t="s">
        <v>2259</v>
      </c>
      <c r="H746" s="4" t="s">
        <v>2260</v>
      </c>
      <c r="I746" s="6" t="s">
        <v>13</v>
      </c>
    </row>
    <row r="747" spans="1:9">
      <c r="A747" s="4" t="s">
        <v>2261</v>
      </c>
      <c r="B747" s="4" t="s">
        <v>24</v>
      </c>
      <c r="C747" s="5" t="n">
        <v>12.9</v>
      </c>
      <c r="D747" s="5" t="n">
        <v>1.67</v>
      </c>
      <c r="F747" s="4" t="s">
        <v>10</v>
      </c>
      <c r="G747" s="4" t="s">
        <v>2262</v>
      </c>
      <c r="H747" s="4" t="s">
        <v>2263</v>
      </c>
      <c r="I747" s="6" t="s">
        <v>13</v>
      </c>
    </row>
    <row r="748" spans="1:9">
      <c r="A748" s="4" t="s">
        <v>2264</v>
      </c>
      <c r="B748" s="4" t="s">
        <v>51</v>
      </c>
      <c r="C748" s="5" t="n">
        <v>6.9</v>
      </c>
      <c r="D748" s="5" t="n">
        <v>3.53</v>
      </c>
      <c r="E748" s="5" t="n">
        <v>28</v>
      </c>
      <c r="F748" s="4" t="s">
        <v>10</v>
      </c>
      <c r="G748" s="4" t="s">
        <v>2265</v>
      </c>
      <c r="H748" s="4" t="s">
        <v>2266</v>
      </c>
      <c r="I748" s="6" t="s">
        <v>13</v>
      </c>
    </row>
    <row r="749" spans="1:9">
      <c r="A749" s="4" t="s">
        <v>2267</v>
      </c>
      <c r="B749" s="4" t="s">
        <v>51</v>
      </c>
      <c r="C749" s="5" t="n">
        <v>12.9</v>
      </c>
      <c r="D749" s="5" t="n">
        <v>6.43</v>
      </c>
      <c r="E749" s="5" t="n">
        <v>28</v>
      </c>
      <c r="F749" s="4" t="s">
        <v>10</v>
      </c>
      <c r="G749" s="4" t="s">
        <v>2268</v>
      </c>
      <c r="H749" s="4" t="s">
        <v>2269</v>
      </c>
      <c r="I749" s="6" t="s">
        <v>13</v>
      </c>
    </row>
    <row r="750" spans="1:9">
      <c r="A750" s="4" t="s">
        <v>2270</v>
      </c>
      <c r="B750" s="4" t="s">
        <v>51</v>
      </c>
      <c r="C750" s="5" t="n">
        <v>15.9</v>
      </c>
      <c r="D750" s="5" t="n">
        <v>9.2</v>
      </c>
      <c r="E750" s="5" t="n">
        <v>25</v>
      </c>
      <c r="F750" s="4" t="s">
        <v>10</v>
      </c>
      <c r="G750" s="4" t="s">
        <v>2271</v>
      </c>
      <c r="H750" s="4" t="s">
        <v>2272</v>
      </c>
      <c r="I750" s="6" t="s">
        <v>13</v>
      </c>
    </row>
    <row r="751" spans="1:9">
      <c r="A751" s="4" t="s">
        <v>2273</v>
      </c>
      <c r="B751" s="4" t="s">
        <v>51</v>
      </c>
      <c r="C751" s="5" t="n">
        <v>9.9</v>
      </c>
      <c r="D751" s="5" t="n">
        <v>0.69</v>
      </c>
      <c r="E751" s="5" t="n">
        <v>507</v>
      </c>
      <c r="F751" s="4" t="s">
        <v>10</v>
      </c>
      <c r="G751" s="4" t="s">
        <v>2274</v>
      </c>
      <c r="H751" s="4" t="s">
        <v>2275</v>
      </c>
      <c r="I751" s="6" t="s">
        <v>13</v>
      </c>
    </row>
    <row r="752" spans="1:9">
      <c r="A752" s="4" t="s">
        <v>2276</v>
      </c>
      <c r="B752" s="4" t="s">
        <v>51</v>
      </c>
      <c r="C752" s="5" t="n">
        <v>10.9</v>
      </c>
      <c r="D752" s="5" t="n">
        <v>4.51</v>
      </c>
      <c r="E752" s="5" t="n">
        <v>3</v>
      </c>
      <c r="F752" s="4" t="s">
        <v>10</v>
      </c>
      <c r="G752" s="4" t="s">
        <v>2277</v>
      </c>
      <c r="H752" s="4" t="s">
        <v>2278</v>
      </c>
      <c r="I752" s="6" t="s">
        <v>13</v>
      </c>
    </row>
    <row r="753" spans="1:9">
      <c r="A753" s="4" t="s">
        <v>2279</v>
      </c>
      <c r="B753" s="4" t="s">
        <v>51</v>
      </c>
      <c r="C753" s="5" t="n">
        <v>6.9</v>
      </c>
      <c r="D753" s="5" t="n">
        <v>3.43</v>
      </c>
      <c r="E753" s="5" t="n">
        <v>-124</v>
      </c>
      <c r="F753" s="4" t="s">
        <v>10</v>
      </c>
      <c r="G753" s="4" t="s">
        <v>2280</v>
      </c>
      <c r="H753" s="4" t="s">
        <v>2281</v>
      </c>
      <c r="I753" s="6" t="s">
        <v>13</v>
      </c>
    </row>
    <row r="754" spans="1:9">
      <c r="A754" s="4" t="s">
        <v>2282</v>
      </c>
      <c r="B754" s="4" t="s">
        <v>51</v>
      </c>
      <c r="C754" s="5" t="n">
        <v>12.9</v>
      </c>
      <c r="D754" s="5" t="n">
        <v>7.53</v>
      </c>
      <c r="E754" s="5" t="n">
        <v>2</v>
      </c>
      <c r="F754" s="4" t="s">
        <v>10</v>
      </c>
      <c r="G754" s="4" t="s">
        <v>2283</v>
      </c>
      <c r="H754" s="4" t="s">
        <v>2284</v>
      </c>
      <c r="I754" s="6" t="s">
        <v>13</v>
      </c>
    </row>
    <row r="755" spans="1:9">
      <c r="A755" s="4" t="s">
        <v>2285</v>
      </c>
      <c r="B755" s="4" t="s">
        <v>51</v>
      </c>
      <c r="C755" s="5" t="n">
        <v>15.9</v>
      </c>
      <c r="D755" s="5" t="n">
        <v>10.86</v>
      </c>
      <c r="E755" s="5" t="n">
        <v>13</v>
      </c>
      <c r="F755" s="4" t="s">
        <v>10</v>
      </c>
      <c r="G755" s="4" t="s">
        <v>2286</v>
      </c>
      <c r="H755" s="4" t="s">
        <v>2287</v>
      </c>
      <c r="I755" s="6" t="s">
        <v>13</v>
      </c>
    </row>
    <row r="756" spans="1:9">
      <c r="A756" s="4" t="s">
        <v>2288</v>
      </c>
      <c r="B756" s="4" t="s">
        <v>51</v>
      </c>
      <c r="C756" s="5" t="n">
        <v>6.9</v>
      </c>
      <c r="D756" s="5" t="n">
        <v>2.7</v>
      </c>
      <c r="E756" s="5" t="n">
        <v>21</v>
      </c>
      <c r="F756" s="4" t="s">
        <v>10</v>
      </c>
      <c r="G756" s="4" t="s">
        <v>2289</v>
      </c>
      <c r="H756" s="4" t="s">
        <v>2290</v>
      </c>
      <c r="I756" s="6" t="s">
        <v>13</v>
      </c>
    </row>
    <row r="757" spans="1:9">
      <c r="A757" s="4" t="s">
        <v>2291</v>
      </c>
      <c r="B757" s="4" t="s">
        <v>51</v>
      </c>
      <c r="C757" s="5" t="n">
        <v>6.9</v>
      </c>
      <c r="D757" s="5" t="n">
        <v>1.79</v>
      </c>
      <c r="E757" s="5" t="n">
        <v>48</v>
      </c>
      <c r="F757" s="4" t="s">
        <v>10</v>
      </c>
      <c r="G757" s="4" t="s">
        <v>2292</v>
      </c>
      <c r="H757" s="4" t="s">
        <v>2293</v>
      </c>
      <c r="I757" s="6" t="s">
        <v>13</v>
      </c>
    </row>
    <row r="758" spans="1:9">
      <c r="A758" s="4" t="s">
        <v>2294</v>
      </c>
      <c r="B758" s="4" t="s">
        <v>51</v>
      </c>
      <c r="C758" s="5" t="n">
        <v>6.9</v>
      </c>
      <c r="E758" s="5" t="n">
        <v>40</v>
      </c>
      <c r="F758" s="4" t="s">
        <v>10</v>
      </c>
      <c r="G758" s="4" t="s">
        <v>2295</v>
      </c>
      <c r="H758" s="4" t="s">
        <v>2296</v>
      </c>
      <c r="I758" s="6" t="s">
        <v>13</v>
      </c>
    </row>
    <row r="759" spans="1:9">
      <c r="A759" s="4" t="s">
        <v>2297</v>
      </c>
      <c r="B759" s="4" t="s">
        <v>51</v>
      </c>
      <c r="C759" s="5" t="n">
        <v>6.9</v>
      </c>
      <c r="E759" s="5" t="n">
        <v>-6</v>
      </c>
      <c r="F759" s="4" t="s">
        <v>10</v>
      </c>
      <c r="G759" s="4" t="s">
        <v>2298</v>
      </c>
      <c r="H759" s="4" t="s">
        <v>2299</v>
      </c>
      <c r="I759" s="6" t="s">
        <v>13</v>
      </c>
    </row>
    <row r="760" spans="1:9">
      <c r="A760" s="4" t="s">
        <v>2300</v>
      </c>
      <c r="B760" s="4" t="s">
        <v>51</v>
      </c>
      <c r="C760" s="5" t="n">
        <v>6.9</v>
      </c>
      <c r="E760" s="5" t="n">
        <v>-6</v>
      </c>
      <c r="F760" s="4" t="s">
        <v>10</v>
      </c>
      <c r="G760" s="4" t="s">
        <v>2301</v>
      </c>
      <c r="H760" s="4" t="s">
        <v>2302</v>
      </c>
      <c r="I760" s="6" t="s">
        <v>13</v>
      </c>
    </row>
    <row r="761" spans="1:9">
      <c r="A761" s="4" t="s">
        <v>2303</v>
      </c>
      <c r="B761" s="4" t="s">
        <v>51</v>
      </c>
      <c r="C761" s="5" t="n">
        <v>6.9</v>
      </c>
      <c r="D761" s="5" t="n">
        <v>2.63</v>
      </c>
      <c r="E761" s="5" t="n">
        <v>22</v>
      </c>
      <c r="F761" s="4" t="s">
        <v>10</v>
      </c>
      <c r="G761" s="4" t="s">
        <v>2304</v>
      </c>
      <c r="H761" s="4" t="s">
        <v>2305</v>
      </c>
      <c r="I761" s="6" t="s">
        <v>13</v>
      </c>
    </row>
    <row r="762" spans="1:9">
      <c r="A762" s="4" t="s">
        <v>2306</v>
      </c>
      <c r="B762" s="4" t="s">
        <v>51</v>
      </c>
      <c r="C762" s="5" t="n">
        <v>9.9</v>
      </c>
      <c r="D762" s="5" t="n">
        <v>4.42</v>
      </c>
      <c r="E762" s="5" t="n">
        <v>-29</v>
      </c>
      <c r="F762" s="4" t="s">
        <v>10</v>
      </c>
      <c r="G762" s="4" t="s">
        <v>2307</v>
      </c>
      <c r="H762" s="4" t="s">
        <v>2308</v>
      </c>
      <c r="I762" s="6" t="s">
        <v>13</v>
      </c>
    </row>
    <row r="763" spans="1:9">
      <c r="A763" s="4" t="s">
        <v>2309</v>
      </c>
      <c r="B763" s="4" t="s">
        <v>51</v>
      </c>
      <c r="C763" s="5" t="n">
        <v>4.9</v>
      </c>
      <c r="E763" s="5" t="n">
        <v>-18</v>
      </c>
      <c r="F763" s="4" t="s">
        <v>10</v>
      </c>
      <c r="G763" s="4" t="s">
        <v>2310</v>
      </c>
      <c r="H763" s="4" t="s">
        <v>2311</v>
      </c>
      <c r="I763" s="6" t="s">
        <v>13</v>
      </c>
    </row>
    <row r="764" spans="1:9">
      <c r="A764" s="4" t="s">
        <v>2312</v>
      </c>
      <c r="B764" s="4" t="s">
        <v>51</v>
      </c>
      <c r="C764" s="5" t="n">
        <v>15.9</v>
      </c>
      <c r="E764" s="5" t="n">
        <v>-5</v>
      </c>
      <c r="F764" s="4" t="s">
        <v>10</v>
      </c>
      <c r="G764" s="4" t="s">
        <v>2313</v>
      </c>
      <c r="H764" s="4" t="s">
        <v>2314</v>
      </c>
      <c r="I764" s="6" t="s">
        <v>13</v>
      </c>
    </row>
    <row r="765" spans="1:9">
      <c r="A765" s="4" t="s">
        <v>2315</v>
      </c>
      <c r="B765" s="4" t="s">
        <v>51</v>
      </c>
      <c r="C765" s="5" t="n">
        <v>6.9</v>
      </c>
      <c r="D765" s="5" t="n">
        <v>2.63</v>
      </c>
      <c r="E765" s="5" t="n">
        <v>8</v>
      </c>
      <c r="F765" s="4" t="s">
        <v>10</v>
      </c>
      <c r="G765" s="4" t="s">
        <v>2316</v>
      </c>
      <c r="H765" s="4" t="s">
        <v>2317</v>
      </c>
      <c r="I765" s="6" t="s">
        <v>13</v>
      </c>
    </row>
    <row r="766" spans="1:9">
      <c r="A766" s="4" t="s">
        <v>2318</v>
      </c>
      <c r="B766" s="4" t="s">
        <v>51</v>
      </c>
      <c r="C766" s="5" t="n">
        <v>9.9</v>
      </c>
      <c r="E766" s="5" t="n">
        <v>-12</v>
      </c>
      <c r="F766" s="4" t="s">
        <v>10</v>
      </c>
      <c r="G766" s="4" t="s">
        <v>2319</v>
      </c>
      <c r="H766" s="4" t="s">
        <v>2320</v>
      </c>
      <c r="I766" s="6" t="s">
        <v>13</v>
      </c>
    </row>
    <row r="767" spans="1:9">
      <c r="A767" s="4" t="s">
        <v>2321</v>
      </c>
      <c r="B767" s="4" t="s">
        <v>51</v>
      </c>
      <c r="C767" s="5" t="n">
        <v>6.9</v>
      </c>
      <c r="E767" s="5" t="n">
        <v>-9</v>
      </c>
      <c r="F767" s="4" t="s">
        <v>10</v>
      </c>
      <c r="G767" s="4" t="s">
        <v>2322</v>
      </c>
      <c r="H767" s="4" t="s">
        <v>2323</v>
      </c>
      <c r="I767" s="6" t="s">
        <v>13</v>
      </c>
    </row>
    <row r="768" spans="1:9">
      <c r="A768" s="4" t="s">
        <v>2324</v>
      </c>
      <c r="B768" s="4" t="s">
        <v>51</v>
      </c>
      <c r="C768" s="5" t="n">
        <v>15.9</v>
      </c>
      <c r="E768" s="5" t="n">
        <v>-4</v>
      </c>
      <c r="F768" s="4" t="s">
        <v>10</v>
      </c>
      <c r="G768" s="4" t="s">
        <v>2325</v>
      </c>
      <c r="H768" s="4" t="s">
        <v>2326</v>
      </c>
      <c r="I768" s="6" t="s">
        <v>13</v>
      </c>
    </row>
    <row r="769" spans="1:9">
      <c r="A769" s="4" t="s">
        <v>2327</v>
      </c>
      <c r="B769" s="4" t="s">
        <v>51</v>
      </c>
      <c r="C769" s="5" t="n">
        <v>6.9</v>
      </c>
      <c r="D769" s="5" t="n">
        <v>2.8</v>
      </c>
      <c r="E769" s="5" t="n">
        <v>2</v>
      </c>
      <c r="F769" s="4" t="s">
        <v>10</v>
      </c>
      <c r="G769" s="4" t="s">
        <v>2328</v>
      </c>
      <c r="H769" s="4" t="s">
        <v>2329</v>
      </c>
      <c r="I769" s="6" t="s">
        <v>13</v>
      </c>
    </row>
    <row r="770" spans="1:9">
      <c r="A770" s="4" t="s">
        <v>2330</v>
      </c>
      <c r="B770" s="4" t="s">
        <v>51</v>
      </c>
      <c r="C770" s="5" t="n">
        <v>6.9</v>
      </c>
      <c r="E770" s="5" t="n">
        <v>3</v>
      </c>
      <c r="F770" s="4" t="s">
        <v>10</v>
      </c>
      <c r="G770" s="4" t="s">
        <v>2331</v>
      </c>
      <c r="H770" s="4" t="s">
        <v>2332</v>
      </c>
      <c r="I770" s="6" t="s">
        <v>13</v>
      </c>
    </row>
    <row r="771" spans="1:9">
      <c r="A771" s="4" t="s">
        <v>2333</v>
      </c>
      <c r="B771" s="4" t="s">
        <v>51</v>
      </c>
      <c r="C771" s="5" t="n">
        <v>9.9</v>
      </c>
      <c r="E771" s="5" t="n">
        <v>-18</v>
      </c>
      <c r="F771" s="4" t="s">
        <v>10</v>
      </c>
      <c r="G771" s="4" t="s">
        <v>2334</v>
      </c>
      <c r="H771" s="4" t="s">
        <v>2335</v>
      </c>
      <c r="I771" s="6" t="s">
        <v>13</v>
      </c>
    </row>
    <row r="772" spans="1:9">
      <c r="A772" s="4" t="s">
        <v>2336</v>
      </c>
      <c r="B772" s="4" t="s">
        <v>51</v>
      </c>
      <c r="C772" s="5" t="n">
        <v>4.9</v>
      </c>
      <c r="E772" s="5" t="n">
        <v>-26</v>
      </c>
      <c r="F772" s="4" t="s">
        <v>10</v>
      </c>
      <c r="G772" s="4" t="s">
        <v>2337</v>
      </c>
      <c r="H772" s="4" t="s">
        <v>2338</v>
      </c>
      <c r="I772" s="6" t="s">
        <v>13</v>
      </c>
    </row>
    <row r="773" spans="1:9">
      <c r="A773" s="4" t="s">
        <v>2339</v>
      </c>
      <c r="B773" s="4" t="s">
        <v>51</v>
      </c>
      <c r="C773" s="5" t="n">
        <v>6.9</v>
      </c>
      <c r="E773" s="5" t="n">
        <v>36</v>
      </c>
      <c r="F773" s="4" t="s">
        <v>10</v>
      </c>
      <c r="G773" s="4" t="s">
        <v>2340</v>
      </c>
      <c r="H773" s="4" t="s">
        <v>2341</v>
      </c>
      <c r="I773" s="6" t="s">
        <v>13</v>
      </c>
    </row>
    <row r="774" spans="1:9">
      <c r="A774" s="4" t="s">
        <v>2342</v>
      </c>
      <c r="B774" s="4" t="s">
        <v>51</v>
      </c>
      <c r="C774" s="5" t="n">
        <v>9.9</v>
      </c>
      <c r="E774" s="5" t="n">
        <v>-12</v>
      </c>
      <c r="F774" s="4" t="s">
        <v>10</v>
      </c>
      <c r="G774" s="4" t="s">
        <v>2343</v>
      </c>
      <c r="H774" s="4" t="s">
        <v>2344</v>
      </c>
      <c r="I774" s="6" t="s">
        <v>13</v>
      </c>
    </row>
    <row r="775" spans="1:9">
      <c r="A775" s="4" t="s">
        <v>2345</v>
      </c>
      <c r="B775" s="4" t="s">
        <v>51</v>
      </c>
      <c r="C775" s="5" t="n">
        <v>4.9</v>
      </c>
      <c r="E775" s="5" t="n">
        <v>-6</v>
      </c>
      <c r="F775" s="4" t="s">
        <v>10</v>
      </c>
      <c r="G775" s="4" t="s">
        <v>2346</v>
      </c>
      <c r="H775" s="4" t="s">
        <v>2347</v>
      </c>
      <c r="I775" s="6" t="s">
        <v>13</v>
      </c>
    </row>
    <row r="776" spans="1:9">
      <c r="A776" s="4" t="s">
        <v>2348</v>
      </c>
      <c r="B776" s="4" t="s">
        <v>51</v>
      </c>
      <c r="C776" s="5" t="n">
        <v>6.9</v>
      </c>
      <c r="E776" s="5" t="n">
        <v>-25</v>
      </c>
      <c r="F776" s="4" t="s">
        <v>10</v>
      </c>
      <c r="G776" s="4" t="s">
        <v>2349</v>
      </c>
      <c r="H776" s="4" t="s">
        <v>2350</v>
      </c>
      <c r="I776" s="6" t="s">
        <v>13</v>
      </c>
    </row>
    <row r="777" spans="1:9">
      <c r="A777" s="4" t="s">
        <v>2351</v>
      </c>
      <c r="B777" s="4" t="s">
        <v>51</v>
      </c>
      <c r="C777" s="5" t="n">
        <v>6.9</v>
      </c>
      <c r="D777" s="5" t="n">
        <v>2.63</v>
      </c>
      <c r="E777" s="5" t="n">
        <v>2</v>
      </c>
      <c r="F777" s="4" t="s">
        <v>10</v>
      </c>
      <c r="G777" s="4" t="s">
        <v>2352</v>
      </c>
      <c r="H777" s="4" t="s">
        <v>2353</v>
      </c>
      <c r="I777" s="6" t="s">
        <v>13</v>
      </c>
    </row>
    <row r="778" spans="1:9">
      <c r="A778" s="4" t="s">
        <v>2354</v>
      </c>
      <c r="B778" s="4" t="s">
        <v>51</v>
      </c>
      <c r="C778" s="5" t="n">
        <v>9.9</v>
      </c>
      <c r="E778" s="5" t="n">
        <v>-6</v>
      </c>
      <c r="F778" s="4" t="s">
        <v>10</v>
      </c>
      <c r="G778" s="4" t="s">
        <v>2355</v>
      </c>
      <c r="H778" s="4" t="s">
        <v>2356</v>
      </c>
      <c r="I778" s="6" t="s">
        <v>13</v>
      </c>
    </row>
    <row r="779" spans="1:9">
      <c r="A779" s="4" t="s">
        <v>2357</v>
      </c>
      <c r="B779" s="4" t="s">
        <v>51</v>
      </c>
      <c r="C779" s="5" t="n">
        <v>4.9</v>
      </c>
      <c r="E779" s="5" t="n">
        <v>16</v>
      </c>
      <c r="F779" s="4" t="s">
        <v>10</v>
      </c>
      <c r="G779" s="4" t="s">
        <v>2358</v>
      </c>
      <c r="H779" s="4" t="s">
        <v>2359</v>
      </c>
      <c r="I779" s="6" t="s">
        <v>13</v>
      </c>
    </row>
    <row r="780" spans="1:9">
      <c r="A780" s="4" t="s">
        <v>2360</v>
      </c>
      <c r="B780" s="4" t="s">
        <v>51</v>
      </c>
      <c r="C780" s="5" t="n">
        <v>15.9</v>
      </c>
      <c r="E780" s="5" t="n">
        <v>-2</v>
      </c>
      <c r="F780" s="4" t="s">
        <v>10</v>
      </c>
      <c r="G780" s="4" t="s">
        <v>2361</v>
      </c>
      <c r="H780" s="4" t="s">
        <v>2362</v>
      </c>
      <c r="I780" s="6" t="s">
        <v>13</v>
      </c>
    </row>
    <row r="781" spans="1:9">
      <c r="A781" s="4" t="s">
        <v>2363</v>
      </c>
      <c r="B781" s="4" t="s">
        <v>51</v>
      </c>
      <c r="C781" s="5" t="n">
        <v>9.9</v>
      </c>
      <c r="E781" s="5" t="n">
        <v>15</v>
      </c>
      <c r="F781" s="4" t="s">
        <v>10</v>
      </c>
      <c r="G781" s="4" t="s">
        <v>2364</v>
      </c>
      <c r="H781" s="4" t="s">
        <v>2365</v>
      </c>
      <c r="I781" s="6" t="s">
        <v>13</v>
      </c>
    </row>
    <row r="782" spans="1:9">
      <c r="A782" s="4" t="s">
        <v>2366</v>
      </c>
      <c r="B782" s="4" t="s">
        <v>51</v>
      </c>
      <c r="C782" s="5" t="n">
        <v>4.9</v>
      </c>
      <c r="E782" s="5" t="n">
        <v>8</v>
      </c>
      <c r="F782" s="4" t="s">
        <v>10</v>
      </c>
      <c r="G782" s="4" t="s">
        <v>2367</v>
      </c>
      <c r="H782" s="4" t="s">
        <v>2368</v>
      </c>
      <c r="I782" s="6" t="s">
        <v>13</v>
      </c>
    </row>
    <row r="783" spans="1:9">
      <c r="A783" s="4" t="s">
        <v>2369</v>
      </c>
      <c r="B783" s="4" t="s">
        <v>51</v>
      </c>
      <c r="C783" s="5" t="n">
        <v>4.9</v>
      </c>
      <c r="D783" s="5" t="n">
        <v>1.64</v>
      </c>
      <c r="E783" s="5" t="n">
        <v>12</v>
      </c>
      <c r="F783" s="4" t="s">
        <v>10</v>
      </c>
      <c r="G783" s="4" t="s">
        <v>2370</v>
      </c>
      <c r="H783" s="4" t="s">
        <v>2371</v>
      </c>
      <c r="I783" s="6" t="s">
        <v>13</v>
      </c>
    </row>
    <row r="784" spans="1:9">
      <c r="A784" s="4" t="s">
        <v>2372</v>
      </c>
      <c r="B784" s="4" t="s">
        <v>51</v>
      </c>
      <c r="C784" s="5" t="n">
        <v>13.9</v>
      </c>
      <c r="E784" s="5" t="n">
        <v>5</v>
      </c>
      <c r="F784" s="4" t="s">
        <v>10</v>
      </c>
      <c r="G784" s="4" t="s">
        <v>2373</v>
      </c>
      <c r="H784" s="4" t="s">
        <v>2374</v>
      </c>
      <c r="I784" s="6" t="s">
        <v>13</v>
      </c>
    </row>
    <row r="785" spans="1:9">
      <c r="A785" s="4" t="s">
        <v>2375</v>
      </c>
      <c r="B785" s="4" t="s">
        <v>51</v>
      </c>
      <c r="C785" s="5" t="n">
        <v>7</v>
      </c>
      <c r="D785" s="5" t="n">
        <v>3.8</v>
      </c>
      <c r="E785" s="5" t="n">
        <v>3</v>
      </c>
      <c r="F785" s="4" t="s">
        <v>10</v>
      </c>
      <c r="G785" s="4" t="s">
        <v>2376</v>
      </c>
      <c r="H785" s="4" t="s">
        <v>2377</v>
      </c>
      <c r="I785" s="6" t="s">
        <v>13</v>
      </c>
    </row>
    <row r="786" spans="1:9">
      <c r="A786" s="4" t="s">
        <v>2378</v>
      </c>
      <c r="B786" s="4" t="s">
        <v>51</v>
      </c>
      <c r="C786" s="5" t="n">
        <v>11</v>
      </c>
      <c r="E786" s="5" t="n">
        <v>-4</v>
      </c>
      <c r="F786" s="4" t="s">
        <v>10</v>
      </c>
      <c r="G786" s="4" t="s">
        <v>2379</v>
      </c>
      <c r="H786" s="4" t="s">
        <v>2380</v>
      </c>
      <c r="I786" s="6" t="s">
        <v>13</v>
      </c>
    </row>
    <row r="787" spans="1:9">
      <c r="A787" s="4" t="s">
        <v>2381</v>
      </c>
      <c r="B787" s="4" t="s">
        <v>51</v>
      </c>
      <c r="C787" s="5" t="n">
        <v>7</v>
      </c>
      <c r="D787" s="5" t="n">
        <v>3.8</v>
      </c>
      <c r="E787" s="5" t="n">
        <v>7</v>
      </c>
      <c r="F787" s="4" t="s">
        <v>10</v>
      </c>
      <c r="G787" s="4" t="s">
        <v>2382</v>
      </c>
      <c r="H787" s="4" t="s">
        <v>2383</v>
      </c>
      <c r="I787" s="6" t="s">
        <v>13</v>
      </c>
    </row>
    <row r="788" spans="1:9">
      <c r="A788" s="4" t="s">
        <v>2384</v>
      </c>
      <c r="B788" s="4" t="s">
        <v>51</v>
      </c>
      <c r="C788" s="5" t="n">
        <v>11</v>
      </c>
      <c r="E788" s="5" t="n">
        <v>-1</v>
      </c>
      <c r="F788" s="4" t="s">
        <v>10</v>
      </c>
      <c r="G788" s="4" t="s">
        <v>2385</v>
      </c>
      <c r="H788" s="4" t="s">
        <v>2386</v>
      </c>
      <c r="I788" s="6" t="s">
        <v>13</v>
      </c>
    </row>
    <row r="789" spans="1:9">
      <c r="A789" s="4" t="s">
        <v>2387</v>
      </c>
      <c r="B789" s="4" t="s">
        <v>1709</v>
      </c>
      <c r="C789" s="5" t="n">
        <v>3.18</v>
      </c>
      <c r="D789" s="5" t="n">
        <v>1.59</v>
      </c>
      <c r="E789" s="5" t="n">
        <v>100</v>
      </c>
      <c r="F789" s="4" t="s">
        <v>10</v>
      </c>
      <c r="G789" s="4" t="s">
        <v>2388</v>
      </c>
      <c r="H789" s="4" t="s">
        <v>2389</v>
      </c>
      <c r="I789" s="6" t="s">
        <v>13</v>
      </c>
    </row>
    <row r="790" spans="1:9">
      <c r="A790" s="4" t="s">
        <v>2390</v>
      </c>
      <c r="B790" s="4" t="s">
        <v>77</v>
      </c>
      <c r="C790" s="5" t="n">
        <v>4</v>
      </c>
      <c r="D790" s="5" t="n">
        <v>0.31</v>
      </c>
      <c r="F790" s="4" t="s">
        <v>10</v>
      </c>
      <c r="G790" s="4" t="s">
        <v>2391</v>
      </c>
      <c r="H790" s="4" t="s">
        <v>2392</v>
      </c>
      <c r="I790" s="6" t="s">
        <v>13</v>
      </c>
    </row>
    <row r="791" spans="1:9">
      <c r="A791" s="4" t="s">
        <v>2393</v>
      </c>
      <c r="B791" s="4" t="s">
        <v>77</v>
      </c>
      <c r="C791" s="5" t="n">
        <v>4</v>
      </c>
      <c r="D791" s="5" t="n">
        <v>0.31</v>
      </c>
      <c r="F791" s="4" t="s">
        <v>10</v>
      </c>
      <c r="G791" s="4" t="s">
        <v>2394</v>
      </c>
      <c r="H791" s="4" t="s">
        <v>2395</v>
      </c>
      <c r="I791" s="6" t="s">
        <v>13</v>
      </c>
    </row>
    <row r="792" spans="1:9">
      <c r="A792" s="4" t="s">
        <v>2396</v>
      </c>
      <c r="B792" s="4" t="s">
        <v>1730</v>
      </c>
      <c r="C792" s="5" t="n">
        <v>95.22</v>
      </c>
      <c r="D792" s="5" t="n">
        <v>47.61</v>
      </c>
      <c r="E792" s="5" t="n">
        <v>1</v>
      </c>
      <c r="F792" s="4" t="s">
        <v>263</v>
      </c>
      <c r="G792" s="4" t="s">
        <v>2397</v>
      </c>
      <c r="H792" s="4" t="s">
        <v>2398</v>
      </c>
      <c r="I792" s="6" t="s">
        <v>13</v>
      </c>
    </row>
    <row r="793" spans="1:9">
      <c r="A793" s="4" t="s">
        <v>2399</v>
      </c>
      <c r="B793" s="4" t="s">
        <v>1730</v>
      </c>
      <c r="C793" s="5" t="n">
        <v>37.16</v>
      </c>
      <c r="D793" s="5" t="n">
        <v>18.58</v>
      </c>
      <c r="E793" s="5" t="n">
        <v>5</v>
      </c>
      <c r="F793" s="4" t="s">
        <v>263</v>
      </c>
      <c r="G793" s="4" t="s">
        <v>2400</v>
      </c>
      <c r="H793" s="4" t="s">
        <v>2401</v>
      </c>
      <c r="I793" s="6" t="s">
        <v>13</v>
      </c>
    </row>
    <row r="794" spans="1:9">
      <c r="A794" s="4" t="s">
        <v>2402</v>
      </c>
      <c r="B794" s="4" t="s">
        <v>24</v>
      </c>
      <c r="C794" s="5" t="n">
        <v>19.9</v>
      </c>
      <c r="D794" s="5" t="n">
        <v>2.5</v>
      </c>
      <c r="E794" s="5" t="n">
        <v>-6</v>
      </c>
      <c r="F794" s="4" t="s">
        <v>10</v>
      </c>
      <c r="G794" s="4" t="s">
        <v>2403</v>
      </c>
      <c r="H794" s="4" t="s">
        <v>2404</v>
      </c>
      <c r="I794" s="6" t="s">
        <v>13</v>
      </c>
    </row>
    <row r="795" spans="1:9">
      <c r="A795" s="4" t="s">
        <v>2405</v>
      </c>
      <c r="B795" s="4" t="s">
        <v>24</v>
      </c>
      <c r="C795" s="5" t="n">
        <v>34.9</v>
      </c>
      <c r="D795" s="5" t="n">
        <v>1.54</v>
      </c>
      <c r="F795" s="4" t="s">
        <v>10</v>
      </c>
      <c r="G795" s="4" t="s">
        <v>2406</v>
      </c>
      <c r="H795" s="4" t="s">
        <v>2407</v>
      </c>
      <c r="I795" s="6" t="s">
        <v>13</v>
      </c>
    </row>
    <row r="796" spans="1:9">
      <c r="A796" s="4" t="s">
        <v>2408</v>
      </c>
      <c r="B796" s="4" t="s">
        <v>24</v>
      </c>
      <c r="C796" s="5" t="n">
        <v>24.9</v>
      </c>
      <c r="D796" s="5" t="n">
        <v>5.96</v>
      </c>
      <c r="F796" s="4" t="s">
        <v>10</v>
      </c>
      <c r="G796" s="4" t="s">
        <v>2409</v>
      </c>
      <c r="H796" s="4" t="s">
        <v>2410</v>
      </c>
      <c r="I796" s="6" t="s">
        <v>13</v>
      </c>
    </row>
    <row r="797" spans="1:9">
      <c r="A797" s="4" t="s">
        <v>2411</v>
      </c>
      <c r="B797" s="4" t="s">
        <v>24</v>
      </c>
      <c r="C797" s="5" t="n">
        <v>30.9</v>
      </c>
      <c r="D797" s="5" t="n">
        <v>7.37</v>
      </c>
      <c r="F797" s="4" t="s">
        <v>10</v>
      </c>
      <c r="G797" s="4" t="s">
        <v>2412</v>
      </c>
      <c r="H797" s="4" t="s">
        <v>2413</v>
      </c>
      <c r="I797" s="6" t="s">
        <v>13</v>
      </c>
    </row>
    <row r="798" spans="1:9">
      <c r="A798" s="4" t="s">
        <v>2414</v>
      </c>
      <c r="B798" s="4" t="s">
        <v>51</v>
      </c>
      <c r="C798" s="5" t="n">
        <v>19</v>
      </c>
      <c r="E798" s="5" t="n">
        <v>-2</v>
      </c>
      <c r="F798" s="4" t="s">
        <v>10</v>
      </c>
      <c r="G798" s="4" t="s">
        <v>2415</v>
      </c>
      <c r="H798" s="4" t="s">
        <v>2416</v>
      </c>
      <c r="I798" s="6" t="s">
        <v>13</v>
      </c>
    </row>
    <row r="799" spans="1:9">
      <c r="A799" s="4" t="s">
        <v>2417</v>
      </c>
      <c r="B799" s="4" t="s">
        <v>51</v>
      </c>
      <c r="C799" s="5" t="n">
        <v>4</v>
      </c>
      <c r="D799" s="5" t="n">
        <v>2.29</v>
      </c>
      <c r="E799" s="5" t="n">
        <v>-6</v>
      </c>
      <c r="F799" s="4" t="s">
        <v>10</v>
      </c>
      <c r="G799" s="4" t="s">
        <v>2418</v>
      </c>
      <c r="H799" s="4" t="s">
        <v>2419</v>
      </c>
      <c r="I799" s="6" t="s">
        <v>13</v>
      </c>
    </row>
    <row r="800" spans="1:9">
      <c r="A800" s="4" t="s">
        <v>2420</v>
      </c>
      <c r="B800" s="4" t="s">
        <v>51</v>
      </c>
      <c r="C800" s="5" t="n">
        <v>4</v>
      </c>
      <c r="D800" s="5" t="n">
        <v>2.29</v>
      </c>
      <c r="E800" s="5" t="n">
        <v>2</v>
      </c>
      <c r="F800" s="4" t="s">
        <v>10</v>
      </c>
      <c r="G800" s="4" t="s">
        <v>2421</v>
      </c>
      <c r="H800" s="4" t="s">
        <v>2422</v>
      </c>
      <c r="I800" s="6" t="s">
        <v>13</v>
      </c>
    </row>
    <row r="801" spans="1:9">
      <c r="A801" s="4" t="s">
        <v>2423</v>
      </c>
      <c r="B801" s="4" t="s">
        <v>51</v>
      </c>
      <c r="C801" s="5" t="n">
        <v>4</v>
      </c>
      <c r="D801" s="5" t="n">
        <v>2.29</v>
      </c>
      <c r="E801" s="5" t="n">
        <v>2</v>
      </c>
      <c r="F801" s="4" t="s">
        <v>10</v>
      </c>
      <c r="G801" s="4" t="s">
        <v>2424</v>
      </c>
      <c r="H801" s="4" t="s">
        <v>2425</v>
      </c>
      <c r="I801" s="6" t="s">
        <v>13</v>
      </c>
    </row>
    <row r="802" spans="1:9">
      <c r="A802" s="4" t="s">
        <v>2426</v>
      </c>
      <c r="B802" s="4" t="s">
        <v>51</v>
      </c>
      <c r="C802" s="5" t="n">
        <v>4</v>
      </c>
      <c r="D802" s="5" t="n">
        <v>2.29</v>
      </c>
      <c r="E802" s="5" t="n">
        <v>3</v>
      </c>
      <c r="F802" s="4" t="s">
        <v>10</v>
      </c>
      <c r="G802" s="4" t="s">
        <v>2427</v>
      </c>
      <c r="H802" s="4" t="s">
        <v>2428</v>
      </c>
      <c r="I802" s="6" t="s">
        <v>13</v>
      </c>
    </row>
    <row r="803" spans="1:9">
      <c r="A803" s="4" t="s">
        <v>2429</v>
      </c>
      <c r="B803" s="4" t="s">
        <v>51</v>
      </c>
      <c r="C803" s="5" t="n">
        <v>4</v>
      </c>
      <c r="D803" s="5" t="n">
        <v>2.63</v>
      </c>
      <c r="E803" s="5" t="n">
        <v>-28</v>
      </c>
      <c r="F803" s="4" t="s">
        <v>10</v>
      </c>
      <c r="G803" s="4" t="s">
        <v>2430</v>
      </c>
      <c r="H803" s="4" t="s">
        <v>2431</v>
      </c>
      <c r="I803" s="6" t="s">
        <v>13</v>
      </c>
    </row>
    <row r="804" spans="1:9">
      <c r="A804" s="4" t="s">
        <v>2432</v>
      </c>
      <c r="B804" s="4" t="s">
        <v>51</v>
      </c>
      <c r="C804" s="5" t="n">
        <v>4</v>
      </c>
      <c r="D804" s="5" t="n">
        <v>2.63</v>
      </c>
      <c r="F804" s="4" t="s">
        <v>10</v>
      </c>
      <c r="G804" s="4" t="s">
        <v>2433</v>
      </c>
      <c r="H804" s="4" t="s">
        <v>2434</v>
      </c>
      <c r="I804" s="6" t="s">
        <v>13</v>
      </c>
    </row>
    <row r="805" spans="1:9">
      <c r="A805" s="4" t="s">
        <v>2435</v>
      </c>
      <c r="B805" s="4" t="s">
        <v>51</v>
      </c>
      <c r="C805" s="5" t="n">
        <v>11.9</v>
      </c>
      <c r="E805" s="5" t="n">
        <v>-5</v>
      </c>
      <c r="F805" s="4" t="s">
        <v>10</v>
      </c>
      <c r="G805" s="4" t="s">
        <v>2436</v>
      </c>
      <c r="H805" s="4" t="s">
        <v>2437</v>
      </c>
      <c r="I805" s="6" t="s">
        <v>13</v>
      </c>
    </row>
    <row r="806" spans="1:9">
      <c r="A806" s="4" t="s">
        <v>2438</v>
      </c>
      <c r="B806" s="4" t="s">
        <v>820</v>
      </c>
      <c r="C806" s="5" t="n">
        <v>6</v>
      </c>
      <c r="E806" s="5" t="n">
        <v>-2</v>
      </c>
      <c r="F806" s="4" t="s">
        <v>10</v>
      </c>
      <c r="G806" s="4" t="s">
        <v>2439</v>
      </c>
      <c r="H806" s="4" t="s">
        <v>2440</v>
      </c>
      <c r="I806" s="6" t="s">
        <v>13</v>
      </c>
    </row>
    <row r="807" spans="1:9">
      <c r="A807" s="4" t="s">
        <v>2441</v>
      </c>
      <c r="B807" s="4" t="s">
        <v>820</v>
      </c>
      <c r="C807" s="5" t="n">
        <v>6</v>
      </c>
      <c r="E807" s="5" t="n">
        <v>-2</v>
      </c>
      <c r="F807" s="4" t="s">
        <v>10</v>
      </c>
      <c r="G807" s="4" t="s">
        <v>2442</v>
      </c>
      <c r="H807" s="4" t="s">
        <v>2443</v>
      </c>
      <c r="I807" s="6" t="s">
        <v>13</v>
      </c>
    </row>
    <row r="808" spans="1:9">
      <c r="A808" s="4">
        <f>="SEDA GRANDE BEM BOLADO BROWN "</f>
      </c>
      <c r="B808" s="4" t="s">
        <v>820</v>
      </c>
      <c r="C808" s="5" t="n">
        <v>6</v>
      </c>
      <c r="E808" s="5" t="n">
        <v>-11</v>
      </c>
      <c r="F808" s="4" t="s">
        <v>10</v>
      </c>
      <c r="G808" s="4" t="s">
        <v>2444</v>
      </c>
      <c r="H808" s="4" t="s">
        <v>2445</v>
      </c>
      <c r="I808" s="6" t="s">
        <v>13</v>
      </c>
    </row>
    <row r="809" spans="1:9">
      <c r="A809" s="4" t="s">
        <v>2446</v>
      </c>
      <c r="B809" s="4" t="s">
        <v>820</v>
      </c>
      <c r="C809" s="5" t="n">
        <v>7</v>
      </c>
      <c r="E809" s="5" t="n">
        <v>-2</v>
      </c>
      <c r="F809" s="4" t="s">
        <v>10</v>
      </c>
      <c r="G809" s="4" t="s">
        <v>2447</v>
      </c>
      <c r="H809" s="4" t="s">
        <v>2448</v>
      </c>
      <c r="I809" s="6" t="s">
        <v>13</v>
      </c>
    </row>
    <row r="810" spans="1:9">
      <c r="A810" s="4" t="s">
        <v>2449</v>
      </c>
      <c r="B810" s="4" t="s">
        <v>820</v>
      </c>
      <c r="C810" s="5" t="n">
        <v>9</v>
      </c>
      <c r="E810" s="5" t="n">
        <v>-9</v>
      </c>
      <c r="F810" s="4" t="s">
        <v>10</v>
      </c>
      <c r="G810" s="4" t="s">
        <v>2450</v>
      </c>
      <c r="H810" s="4" t="s">
        <v>2451</v>
      </c>
      <c r="I810" s="6" t="s">
        <v>13</v>
      </c>
    </row>
    <row r="811" spans="1:9">
      <c r="A811" s="4" t="s">
        <v>2452</v>
      </c>
      <c r="B811" s="4" t="s">
        <v>820</v>
      </c>
      <c r="C811" s="5" t="n">
        <v>7</v>
      </c>
      <c r="E811" s="5" t="n">
        <v>-6</v>
      </c>
      <c r="F811" s="4" t="s">
        <v>10</v>
      </c>
      <c r="G811" s="4" t="s">
        <v>2453</v>
      </c>
      <c r="H811" s="4" t="s">
        <v>2454</v>
      </c>
      <c r="I811" s="6" t="s">
        <v>13</v>
      </c>
    </row>
    <row r="812" spans="1:9">
      <c r="A812" s="4" t="s">
        <v>2455</v>
      </c>
      <c r="B812" s="4" t="s">
        <v>77</v>
      </c>
      <c r="C812" s="5" t="n">
        <v>5.75</v>
      </c>
      <c r="D812" s="5" t="n">
        <v>3.73</v>
      </c>
      <c r="E812" s="5" t="n">
        <v>20</v>
      </c>
      <c r="F812" s="4" t="s">
        <v>10</v>
      </c>
      <c r="G812" s="4" t="s">
        <v>2456</v>
      </c>
      <c r="H812" s="4" t="s">
        <v>2457</v>
      </c>
      <c r="I812" s="6" t="s">
        <v>13</v>
      </c>
    </row>
    <row r="813" spans="1:9">
      <c r="A813" s="4" t="s">
        <v>2458</v>
      </c>
      <c r="B813" s="4" t="s">
        <v>77</v>
      </c>
      <c r="C813" s="5" t="n">
        <v>5.75</v>
      </c>
      <c r="D813" s="5" t="n">
        <v>3.73</v>
      </c>
      <c r="E813" s="5" t="n">
        <v>18</v>
      </c>
      <c r="F813" s="4" t="s">
        <v>10</v>
      </c>
      <c r="G813" s="4" t="s">
        <v>2459</v>
      </c>
      <c r="H813" s="4" t="s">
        <v>2460</v>
      </c>
      <c r="I813" s="6" t="s">
        <v>13</v>
      </c>
    </row>
    <row r="814" spans="1:9">
      <c r="A814" s="4" t="s">
        <v>2461</v>
      </c>
      <c r="B814" s="4" t="s">
        <v>17</v>
      </c>
      <c r="C814" s="5" t="n">
        <v>19.9</v>
      </c>
      <c r="D814" s="5" t="n">
        <v>1.4</v>
      </c>
      <c r="F814" s="4" t="s">
        <v>10</v>
      </c>
      <c r="G814" s="4" t="s">
        <v>2462</v>
      </c>
      <c r="H814" s="4" t="s">
        <v>2463</v>
      </c>
      <c r="I814" s="6" t="s">
        <v>13</v>
      </c>
    </row>
    <row r="815" spans="1:9">
      <c r="A815" s="4" t="s">
        <v>2464</v>
      </c>
      <c r="B815" s="4" t="s">
        <v>17</v>
      </c>
      <c r="C815" s="5" t="n">
        <v>27.9</v>
      </c>
      <c r="D815" s="5" t="n">
        <v>2.8</v>
      </c>
      <c r="F815" s="4" t="s">
        <v>10</v>
      </c>
      <c r="G815" s="4" t="s">
        <v>2465</v>
      </c>
      <c r="H815" s="4" t="s">
        <v>2466</v>
      </c>
      <c r="I815" s="6" t="s">
        <v>13</v>
      </c>
    </row>
    <row r="816" spans="1:9">
      <c r="A816" s="4" t="s">
        <v>2467</v>
      </c>
      <c r="B816" s="4" t="s">
        <v>39</v>
      </c>
      <c r="C816" s="5" t="n">
        <v>39.9</v>
      </c>
      <c r="F816" s="4" t="s">
        <v>10</v>
      </c>
      <c r="G816" s="4" t="s">
        <v>2468</v>
      </c>
      <c r="H816" s="4" t="s">
        <v>2469</v>
      </c>
      <c r="I816" s="6" t="s">
        <v>13</v>
      </c>
    </row>
    <row r="817" spans="1:9">
      <c r="A817" s="4" t="s">
        <v>2470</v>
      </c>
      <c r="B817" s="4" t="s">
        <v>39</v>
      </c>
      <c r="C817" s="5" t="n">
        <v>42.49</v>
      </c>
      <c r="E817" s="5" t="n">
        <v>-1</v>
      </c>
      <c r="F817" s="4" t="s">
        <v>10</v>
      </c>
      <c r="G817" s="4" t="s">
        <v>2471</v>
      </c>
      <c r="H817" s="4" t="s">
        <v>2472</v>
      </c>
      <c r="I817" s="6" t="s">
        <v>13</v>
      </c>
    </row>
    <row r="818" spans="1:9">
      <c r="A818" s="4" t="s">
        <v>2473</v>
      </c>
      <c r="B818" s="4" t="s">
        <v>39</v>
      </c>
      <c r="C818" s="5" t="n">
        <v>38.99</v>
      </c>
      <c r="F818" s="4" t="s">
        <v>10</v>
      </c>
      <c r="G818" s="4" t="s">
        <v>2474</v>
      </c>
      <c r="H818" s="4" t="s">
        <v>2475</v>
      </c>
      <c r="I818" s="6" t="s">
        <v>13</v>
      </c>
    </row>
    <row r="819" spans="1:9">
      <c r="A819" s="4" t="s">
        <v>2476</v>
      </c>
      <c r="B819" s="4" t="s">
        <v>39</v>
      </c>
      <c r="C819" s="5" t="n">
        <v>39.99</v>
      </c>
      <c r="F819" s="4" t="s">
        <v>10</v>
      </c>
      <c r="G819" s="4" t="s">
        <v>2477</v>
      </c>
      <c r="H819" s="4" t="s">
        <v>2478</v>
      </c>
      <c r="I819" s="6" t="s">
        <v>13</v>
      </c>
    </row>
    <row r="820" spans="1:9">
      <c r="A820" s="4" t="s">
        <v>2479</v>
      </c>
      <c r="B820" s="4" t="s">
        <v>39</v>
      </c>
      <c r="C820" s="5" t="n">
        <v>42.49</v>
      </c>
      <c r="F820" s="4" t="s">
        <v>10</v>
      </c>
      <c r="G820" s="4" t="s">
        <v>2480</v>
      </c>
      <c r="H820" s="4" t="s">
        <v>2481</v>
      </c>
      <c r="I820" s="6" t="s">
        <v>13</v>
      </c>
    </row>
    <row r="821" spans="1:9">
      <c r="A821" s="4" t="s">
        <v>2482</v>
      </c>
      <c r="B821" s="4" t="s">
        <v>39</v>
      </c>
      <c r="C821" s="5" t="n">
        <v>14.99</v>
      </c>
      <c r="E821" s="5" t="n">
        <v>-10</v>
      </c>
      <c r="F821" s="4" t="s">
        <v>10</v>
      </c>
      <c r="G821" s="4" t="s">
        <v>2483</v>
      </c>
      <c r="H821" s="4" t="s">
        <v>2484</v>
      </c>
      <c r="I821" s="6" t="s">
        <v>13</v>
      </c>
    </row>
    <row r="822" spans="1:9">
      <c r="A822" s="4" t="s">
        <v>2485</v>
      </c>
      <c r="B822" s="4" t="s">
        <v>39</v>
      </c>
      <c r="C822" s="5" t="n">
        <v>14.99</v>
      </c>
      <c r="D822" s="5" t="n">
        <v>12.52</v>
      </c>
      <c r="E822" s="5" t="n">
        <v>19</v>
      </c>
      <c r="F822" s="4" t="s">
        <v>10</v>
      </c>
      <c r="G822" s="4" t="s">
        <v>2486</v>
      </c>
      <c r="H822" s="4" t="s">
        <v>2487</v>
      </c>
      <c r="I822" s="6" t="s">
        <v>13</v>
      </c>
    </row>
    <row r="823" spans="1:9">
      <c r="A823" s="4" t="s">
        <v>2488</v>
      </c>
      <c r="B823" s="4" t="s">
        <v>39</v>
      </c>
      <c r="C823" s="5" t="n">
        <v>10.99</v>
      </c>
      <c r="D823" s="5" t="n">
        <v>9.18</v>
      </c>
      <c r="E823" s="5" t="n">
        <v>22</v>
      </c>
      <c r="F823" s="4" t="s">
        <v>10</v>
      </c>
      <c r="G823" s="4" t="s">
        <v>2489</v>
      </c>
      <c r="H823" s="4" t="s">
        <v>2490</v>
      </c>
      <c r="I823" s="6" t="s">
        <v>13</v>
      </c>
    </row>
    <row r="824" spans="1:9">
      <c r="A824" s="4" t="s">
        <v>2491</v>
      </c>
      <c r="B824" s="4" t="s">
        <v>39</v>
      </c>
      <c r="C824" s="5" t="n">
        <v>10.99</v>
      </c>
      <c r="D824" s="5" t="n">
        <v>9.18</v>
      </c>
      <c r="E824" s="5" t="n">
        <v>12</v>
      </c>
      <c r="F824" s="4" t="s">
        <v>10</v>
      </c>
      <c r="G824" s="4" t="s">
        <v>2492</v>
      </c>
      <c r="H824" s="4" t="s">
        <v>2493</v>
      </c>
      <c r="I824" s="6" t="s">
        <v>13</v>
      </c>
    </row>
    <row r="825" spans="1:9">
      <c r="A825" s="4" t="s">
        <v>2494</v>
      </c>
      <c r="B825" s="4" t="s">
        <v>39</v>
      </c>
      <c r="C825" s="5" t="n">
        <v>10.99</v>
      </c>
      <c r="D825" s="5" t="n">
        <v>9.05</v>
      </c>
      <c r="E825" s="5" t="n">
        <v>18</v>
      </c>
      <c r="F825" s="4" t="s">
        <v>10</v>
      </c>
      <c r="G825" s="4" t="s">
        <v>2495</v>
      </c>
      <c r="H825" s="4" t="s">
        <v>2496</v>
      </c>
      <c r="I825" s="6" t="s">
        <v>13</v>
      </c>
    </row>
    <row r="826" spans="1:9">
      <c r="A826" s="4" t="s">
        <v>2497</v>
      </c>
      <c r="B826" s="4" t="s">
        <v>39</v>
      </c>
      <c r="C826" s="5" t="n">
        <v>31.99</v>
      </c>
      <c r="E826" s="5" t="n">
        <v>-2</v>
      </c>
      <c r="F826" s="4" t="s">
        <v>10</v>
      </c>
      <c r="G826" s="4" t="s">
        <v>2498</v>
      </c>
      <c r="H826" s="4" t="s">
        <v>2499</v>
      </c>
      <c r="I826" s="6" t="s">
        <v>13</v>
      </c>
    </row>
    <row r="827" spans="1:9">
      <c r="A827" s="4" t="s">
        <v>2500</v>
      </c>
      <c r="B827" s="4" t="s">
        <v>39</v>
      </c>
      <c r="C827" s="5" t="n">
        <v>42.49</v>
      </c>
      <c r="E827" s="5" t="n">
        <v>-1</v>
      </c>
      <c r="F827" s="4" t="s">
        <v>10</v>
      </c>
      <c r="G827" s="4" t="s">
        <v>2501</v>
      </c>
      <c r="H827" s="4" t="s">
        <v>2502</v>
      </c>
      <c r="I827" s="6" t="s">
        <v>13</v>
      </c>
    </row>
    <row r="828" spans="1:9">
      <c r="A828" s="4" t="s">
        <v>2503</v>
      </c>
      <c r="B828" s="4" t="s">
        <v>39</v>
      </c>
      <c r="C828" s="5" t="n">
        <v>42.49</v>
      </c>
      <c r="F828" s="4" t="s">
        <v>10</v>
      </c>
      <c r="G828" s="4" t="s">
        <v>2504</v>
      </c>
      <c r="H828" s="4" t="s">
        <v>2505</v>
      </c>
      <c r="I828" s="6" t="s">
        <v>13</v>
      </c>
    </row>
    <row r="829" spans="1:9">
      <c r="A829" s="4" t="s">
        <v>2506</v>
      </c>
      <c r="B829" s="4" t="s">
        <v>39</v>
      </c>
      <c r="C829" s="5" t="n">
        <v>37.49</v>
      </c>
      <c r="E829" s="5" t="n">
        <v>-1</v>
      </c>
      <c r="F829" s="4" t="s">
        <v>10</v>
      </c>
      <c r="G829" s="4" t="s">
        <v>2507</v>
      </c>
      <c r="H829" s="4" t="s">
        <v>2508</v>
      </c>
      <c r="I829" s="6" t="s">
        <v>13</v>
      </c>
    </row>
    <row r="830" spans="1:9">
      <c r="A830" s="4" t="s">
        <v>2509</v>
      </c>
      <c r="B830" s="4" t="s">
        <v>39</v>
      </c>
      <c r="C830" s="5" t="n">
        <v>37.49</v>
      </c>
      <c r="F830" s="4" t="s">
        <v>10</v>
      </c>
      <c r="G830" s="4" t="s">
        <v>2510</v>
      </c>
      <c r="H830" s="4" t="s">
        <v>2511</v>
      </c>
      <c r="I830" s="6" t="s">
        <v>13</v>
      </c>
    </row>
    <row r="831" spans="1:9">
      <c r="A831" s="4" t="s">
        <v>2512</v>
      </c>
      <c r="B831" s="4" t="s">
        <v>39</v>
      </c>
      <c r="C831" s="5" t="n">
        <v>15.99</v>
      </c>
      <c r="D831" s="5" t="n">
        <v>13.35</v>
      </c>
      <c r="E831" s="5" t="n">
        <v>14</v>
      </c>
      <c r="F831" s="4" t="s">
        <v>10</v>
      </c>
      <c r="G831" s="4" t="s">
        <v>2513</v>
      </c>
      <c r="H831" s="4" t="s">
        <v>2514</v>
      </c>
      <c r="I831" s="6" t="s">
        <v>13</v>
      </c>
    </row>
    <row r="832" spans="1:9">
      <c r="A832" s="4" t="s">
        <v>2515</v>
      </c>
      <c r="B832" s="4" t="s">
        <v>39</v>
      </c>
      <c r="C832" s="5" t="n">
        <v>15.99</v>
      </c>
      <c r="E832" s="5" t="n">
        <v>-6</v>
      </c>
      <c r="F832" s="4" t="s">
        <v>10</v>
      </c>
      <c r="G832" s="4" t="s">
        <v>2516</v>
      </c>
      <c r="H832" s="4" t="s">
        <v>2517</v>
      </c>
      <c r="I832" s="6" t="s">
        <v>13</v>
      </c>
    </row>
    <row r="833" spans="1:9">
      <c r="A833" s="4" t="s">
        <v>2518</v>
      </c>
      <c r="B833" s="4" t="s">
        <v>39</v>
      </c>
      <c r="C833" s="5" t="n">
        <v>42.9</v>
      </c>
      <c r="F833" s="4" t="s">
        <v>10</v>
      </c>
      <c r="G833" s="4" t="s">
        <v>2519</v>
      </c>
      <c r="H833" s="4" t="s">
        <v>2520</v>
      </c>
      <c r="I833" s="6" t="s">
        <v>13</v>
      </c>
    </row>
    <row r="834" spans="1:9">
      <c r="A834" s="4" t="s">
        <v>2521</v>
      </c>
      <c r="B834" s="4" t="s">
        <v>39</v>
      </c>
      <c r="C834" s="5" t="n">
        <v>37.9</v>
      </c>
      <c r="F834" s="4" t="s">
        <v>10</v>
      </c>
      <c r="G834" s="4" t="s">
        <v>2522</v>
      </c>
      <c r="H834" s="4" t="s">
        <v>2523</v>
      </c>
      <c r="I834" s="6" t="s">
        <v>13</v>
      </c>
    </row>
    <row r="835" spans="1:9">
      <c r="A835" s="4" t="s">
        <v>2524</v>
      </c>
      <c r="B835" s="4" t="s">
        <v>39</v>
      </c>
      <c r="C835" s="5" t="n">
        <v>15.99</v>
      </c>
      <c r="D835" s="5" t="n">
        <v>13.35</v>
      </c>
      <c r="F835" s="4" t="s">
        <v>10</v>
      </c>
      <c r="G835" s="4" t="s">
        <v>2525</v>
      </c>
      <c r="H835" s="4" t="s">
        <v>2526</v>
      </c>
      <c r="I835" s="6" t="s">
        <v>13</v>
      </c>
    </row>
    <row r="836" spans="1:9">
      <c r="A836" s="4" t="s">
        <v>2527</v>
      </c>
      <c r="B836" s="4" t="s">
        <v>39</v>
      </c>
      <c r="C836" s="5" t="n">
        <v>15.99</v>
      </c>
      <c r="E836" s="5" t="n">
        <v>-7</v>
      </c>
      <c r="F836" s="4" t="s">
        <v>10</v>
      </c>
      <c r="G836" s="4" t="s">
        <v>2528</v>
      </c>
      <c r="H836" s="4" t="s">
        <v>2529</v>
      </c>
      <c r="I836" s="6" t="s">
        <v>13</v>
      </c>
    </row>
    <row r="837" spans="1:9">
      <c r="A837" s="4" t="s">
        <v>2530</v>
      </c>
      <c r="B837" s="4" t="s">
        <v>39</v>
      </c>
      <c r="C837" s="5" t="n">
        <v>29.99</v>
      </c>
      <c r="F837" s="4" t="s">
        <v>10</v>
      </c>
      <c r="G837" s="4" t="s">
        <v>2531</v>
      </c>
      <c r="H837" s="4" t="s">
        <v>2532</v>
      </c>
      <c r="I837" s="6" t="s">
        <v>13</v>
      </c>
    </row>
    <row r="838" spans="1:9">
      <c r="A838" s="4" t="s">
        <v>2533</v>
      </c>
      <c r="B838" s="4" t="s">
        <v>39</v>
      </c>
      <c r="C838" s="5" t="n">
        <v>29.99</v>
      </c>
      <c r="E838" s="5" t="n">
        <v>-1</v>
      </c>
      <c r="F838" s="4" t="s">
        <v>10</v>
      </c>
      <c r="G838" s="4" t="s">
        <v>2534</v>
      </c>
      <c r="H838" s="4" t="s">
        <v>2535</v>
      </c>
      <c r="I838" s="6" t="s">
        <v>13</v>
      </c>
    </row>
    <row r="839" spans="1:9">
      <c r="A839" s="4" t="s">
        <v>2536</v>
      </c>
      <c r="B839" s="4" t="s">
        <v>39</v>
      </c>
      <c r="C839" s="5" t="n">
        <v>31.99</v>
      </c>
      <c r="D839" s="5" t="n">
        <v>27.03</v>
      </c>
      <c r="E839" s="5" t="n">
        <v>2</v>
      </c>
      <c r="F839" s="4" t="s">
        <v>10</v>
      </c>
      <c r="G839" s="4" t="s">
        <v>2537</v>
      </c>
      <c r="H839" s="4" t="s">
        <v>2538</v>
      </c>
      <c r="I839" s="6" t="s">
        <v>13</v>
      </c>
    </row>
    <row r="840" spans="1:9">
      <c r="A840" s="4" t="s">
        <v>2539</v>
      </c>
      <c r="B840" s="4" t="s">
        <v>39</v>
      </c>
      <c r="C840" s="5" t="n">
        <v>38.99</v>
      </c>
      <c r="F840" s="4" t="s">
        <v>10</v>
      </c>
      <c r="G840" s="4" t="s">
        <v>2540</v>
      </c>
      <c r="H840" s="4" t="s">
        <v>2541</v>
      </c>
      <c r="I840" s="6" t="s">
        <v>13</v>
      </c>
    </row>
    <row r="841" spans="1:9">
      <c r="A841" s="4" t="s">
        <v>2542</v>
      </c>
      <c r="B841" s="4" t="s">
        <v>39</v>
      </c>
      <c r="C841" s="5" t="n">
        <v>31.99</v>
      </c>
      <c r="E841" s="5" t="n">
        <v>-2</v>
      </c>
      <c r="F841" s="4" t="s">
        <v>10</v>
      </c>
      <c r="G841" s="4" t="s">
        <v>2543</v>
      </c>
      <c r="H841" s="4" t="s">
        <v>2544</v>
      </c>
      <c r="I841" s="6" t="s">
        <v>13</v>
      </c>
    </row>
    <row r="842" spans="1:9">
      <c r="A842" s="4" t="s">
        <v>2545</v>
      </c>
      <c r="B842" s="4" t="s">
        <v>39</v>
      </c>
      <c r="C842" s="5" t="n">
        <v>38.99</v>
      </c>
      <c r="F842" s="4" t="s">
        <v>10</v>
      </c>
      <c r="G842" s="4" t="s">
        <v>2546</v>
      </c>
      <c r="H842" s="4" t="s">
        <v>2547</v>
      </c>
      <c r="I842" s="6" t="s">
        <v>13</v>
      </c>
    </row>
    <row r="843" spans="1:9">
      <c r="A843" s="4" t="s">
        <v>2548</v>
      </c>
      <c r="B843" s="4" t="s">
        <v>39</v>
      </c>
      <c r="C843" s="5" t="n">
        <v>44.99</v>
      </c>
      <c r="D843" s="5" t="n">
        <v>38.02</v>
      </c>
      <c r="E843" s="5" t="n">
        <v>2</v>
      </c>
      <c r="F843" s="4" t="s">
        <v>10</v>
      </c>
      <c r="G843" s="4" t="s">
        <v>2549</v>
      </c>
      <c r="H843" s="4" t="s">
        <v>2550</v>
      </c>
      <c r="I843" s="6" t="s">
        <v>13</v>
      </c>
    </row>
    <row r="844" spans="1:9">
      <c r="A844" s="4" t="s">
        <v>2551</v>
      </c>
      <c r="B844" s="4" t="s">
        <v>39</v>
      </c>
      <c r="C844" s="5" t="n">
        <v>44.99</v>
      </c>
      <c r="F844" s="4" t="s">
        <v>10</v>
      </c>
      <c r="G844" s="4" t="s">
        <v>2552</v>
      </c>
      <c r="H844" s="4" t="s">
        <v>2553</v>
      </c>
      <c r="I844" s="6" t="s">
        <v>13</v>
      </c>
    </row>
    <row r="845" spans="1:9">
      <c r="A845" s="4" t="s">
        <v>2554</v>
      </c>
      <c r="B845" s="4" t="s">
        <v>39</v>
      </c>
      <c r="C845" s="5" t="n">
        <v>39.99</v>
      </c>
      <c r="F845" s="4" t="s">
        <v>10</v>
      </c>
      <c r="G845" s="4" t="s">
        <v>2555</v>
      </c>
      <c r="H845" s="4" t="s">
        <v>2556</v>
      </c>
      <c r="I845" s="6" t="s">
        <v>13</v>
      </c>
    </row>
    <row r="846" spans="1:9">
      <c r="A846" s="4" t="s">
        <v>2557</v>
      </c>
      <c r="B846" s="4" t="s">
        <v>39</v>
      </c>
      <c r="C846" s="5" t="n">
        <v>14.99</v>
      </c>
      <c r="F846" s="4" t="s">
        <v>10</v>
      </c>
      <c r="G846" s="4" t="s">
        <v>2558</v>
      </c>
      <c r="H846" s="4" t="s">
        <v>2559</v>
      </c>
      <c r="I846" s="6" t="s">
        <v>13</v>
      </c>
    </row>
    <row r="847" spans="1:9">
      <c r="A847" s="4" t="s">
        <v>2560</v>
      </c>
      <c r="B847" s="4" t="s">
        <v>39</v>
      </c>
      <c r="F847" s="4" t="s">
        <v>10</v>
      </c>
      <c r="G847" s="4" t="s">
        <v>2561</v>
      </c>
      <c r="H847" s="4" t="s">
        <v>2562</v>
      </c>
      <c r="I847" s="6" t="s">
        <v>13</v>
      </c>
    </row>
    <row r="848" spans="1:9">
      <c r="A848" s="4" t="s">
        <v>2563</v>
      </c>
      <c r="B848" s="4" t="s">
        <v>39</v>
      </c>
      <c r="F848" s="4" t="s">
        <v>10</v>
      </c>
      <c r="G848" s="4" t="s">
        <v>2564</v>
      </c>
      <c r="H848" s="4" t="s">
        <v>2565</v>
      </c>
      <c r="I848" s="6" t="s">
        <v>13</v>
      </c>
    </row>
    <row r="849" spans="1:9">
      <c r="A849" s="4" t="s">
        <v>2566</v>
      </c>
      <c r="B849" s="4" t="s">
        <v>51</v>
      </c>
      <c r="C849" s="5" t="n">
        <v>6.9</v>
      </c>
      <c r="D849" s="5" t="n">
        <v>2.29</v>
      </c>
      <c r="E849" s="5" t="n">
        <v>17</v>
      </c>
      <c r="F849" s="4" t="s">
        <v>10</v>
      </c>
      <c r="G849" s="4" t="s">
        <v>2567</v>
      </c>
      <c r="H849" s="4" t="s">
        <v>2568</v>
      </c>
      <c r="I849" s="6" t="s">
        <v>13</v>
      </c>
    </row>
    <row r="850" spans="1:9">
      <c r="A850" s="4" t="s">
        <v>2569</v>
      </c>
      <c r="B850" s="4" t="s">
        <v>51</v>
      </c>
      <c r="C850" s="5" t="n">
        <v>7.9</v>
      </c>
      <c r="E850" s="5" t="n">
        <v>19</v>
      </c>
      <c r="F850" s="4" t="s">
        <v>10</v>
      </c>
      <c r="G850" s="4" t="s">
        <v>2570</v>
      </c>
      <c r="H850" s="4" t="s">
        <v>2571</v>
      </c>
      <c r="I850" s="6" t="s">
        <v>13</v>
      </c>
    </row>
    <row r="851" spans="1:9">
      <c r="A851" s="4" t="s">
        <v>2572</v>
      </c>
      <c r="B851" s="4" t="s">
        <v>51</v>
      </c>
      <c r="C851" s="5" t="n">
        <v>6.9</v>
      </c>
      <c r="D851" s="5" t="n">
        <v>2.92</v>
      </c>
      <c r="E851" s="5" t="n">
        <v>17</v>
      </c>
      <c r="F851" s="4" t="s">
        <v>10</v>
      </c>
      <c r="G851" s="4" t="s">
        <v>2573</v>
      </c>
      <c r="H851" s="4" t="s">
        <v>2574</v>
      </c>
      <c r="I851" s="6" t="s">
        <v>13</v>
      </c>
    </row>
    <row r="852" spans="1:9">
      <c r="A852" s="4" t="s">
        <v>2575</v>
      </c>
      <c r="B852" s="4" t="s">
        <v>51</v>
      </c>
      <c r="C852" s="5" t="n">
        <v>15.9</v>
      </c>
      <c r="D852" s="5" t="n">
        <v>9.31</v>
      </c>
      <c r="E852" s="5" t="n">
        <v>1</v>
      </c>
      <c r="F852" s="4" t="s">
        <v>10</v>
      </c>
      <c r="G852" s="4" t="s">
        <v>2576</v>
      </c>
      <c r="H852" s="4" t="s">
        <v>2577</v>
      </c>
      <c r="I852" s="6" t="s">
        <v>13</v>
      </c>
    </row>
    <row r="853" spans="1:9">
      <c r="A853" s="4" t="s">
        <v>2578</v>
      </c>
      <c r="B853" s="4" t="s">
        <v>51</v>
      </c>
      <c r="C853" s="5" t="n">
        <v>8</v>
      </c>
      <c r="D853" s="5" t="n">
        <v>5</v>
      </c>
      <c r="E853" s="5" t="n">
        <v>1</v>
      </c>
      <c r="F853" s="4" t="s">
        <v>10</v>
      </c>
      <c r="G853" s="4" t="s">
        <v>2579</v>
      </c>
      <c r="H853" s="4" t="s">
        <v>2580</v>
      </c>
      <c r="I853" s="6" t="s">
        <v>13</v>
      </c>
    </row>
    <row r="854" spans="1:9">
      <c r="A854" s="4" t="s">
        <v>2581</v>
      </c>
      <c r="B854" s="4" t="s">
        <v>2582</v>
      </c>
      <c r="C854" s="5" t="n">
        <v>8.9</v>
      </c>
      <c r="D854" s="5" t="n">
        <v>1.31</v>
      </c>
      <c r="F854" s="4" t="s">
        <v>10</v>
      </c>
      <c r="G854" s="4" t="s">
        <v>2583</v>
      </c>
      <c r="H854" s="4" t="s">
        <v>2584</v>
      </c>
      <c r="I854" s="6" t="s">
        <v>13</v>
      </c>
    </row>
    <row r="855" spans="1:9">
      <c r="A855" s="4" t="s">
        <v>2585</v>
      </c>
      <c r="B855" s="4" t="s">
        <v>2582</v>
      </c>
      <c r="C855" s="5" t="n">
        <v>24.9</v>
      </c>
      <c r="D855" s="5" t="n">
        <v>5.4</v>
      </c>
      <c r="F855" s="4" t="s">
        <v>10</v>
      </c>
      <c r="G855" s="4" t="s">
        <v>2586</v>
      </c>
      <c r="H855" s="4" t="s">
        <v>2587</v>
      </c>
      <c r="I855" s="6" t="s">
        <v>13</v>
      </c>
    </row>
    <row r="856" spans="1:9">
      <c r="A856" s="4" t="s">
        <v>2588</v>
      </c>
      <c r="B856" s="4" t="s">
        <v>2582</v>
      </c>
      <c r="C856" s="5" t="n">
        <v>12.9</v>
      </c>
      <c r="D856" s="5" t="n">
        <v>2.94</v>
      </c>
      <c r="F856" s="4" t="s">
        <v>10</v>
      </c>
      <c r="G856" s="4" t="s">
        <v>2589</v>
      </c>
      <c r="H856" s="4" t="s">
        <v>2590</v>
      </c>
      <c r="I856" s="6" t="s">
        <v>13</v>
      </c>
    </row>
    <row r="857" spans="1:9">
      <c r="A857" s="4" t="s">
        <v>2591</v>
      </c>
      <c r="B857" s="4" t="s">
        <v>2582</v>
      </c>
      <c r="C857" s="5" t="n">
        <v>24.9</v>
      </c>
      <c r="D857" s="5" t="n">
        <v>5.4</v>
      </c>
      <c r="F857" s="4" t="s">
        <v>10</v>
      </c>
      <c r="G857" s="4" t="s">
        <v>2592</v>
      </c>
      <c r="H857" s="4" t="s">
        <v>2593</v>
      </c>
      <c r="I857" s="6" t="s">
        <v>13</v>
      </c>
    </row>
    <row r="858" spans="1:9">
      <c r="A858" s="4" t="s">
        <v>2594</v>
      </c>
      <c r="B858" s="4" t="s">
        <v>2582</v>
      </c>
      <c r="F858" s="4" t="s">
        <v>10</v>
      </c>
      <c r="G858" s="4" t="s">
        <v>2595</v>
      </c>
      <c r="H858" s="4" t="s">
        <v>2596</v>
      </c>
      <c r="I858" s="6" t="s">
        <v>13</v>
      </c>
    </row>
    <row r="859" spans="1:9">
      <c r="A859" s="4" t="s">
        <v>2597</v>
      </c>
      <c r="B859" s="4" t="s">
        <v>77</v>
      </c>
      <c r="C859" s="5" t="n">
        <v>9</v>
      </c>
      <c r="E859" s="5" t="n">
        <v>-3</v>
      </c>
      <c r="F859" s="4" t="s">
        <v>10</v>
      </c>
      <c r="G859" s="4" t="s">
        <v>2598</v>
      </c>
      <c r="H859" s="4" t="s">
        <v>2599</v>
      </c>
      <c r="I859" s="6" t="s">
        <v>13</v>
      </c>
    </row>
    <row r="860" spans="1:9">
      <c r="A860" s="4" t="s">
        <v>2600</v>
      </c>
      <c r="B860" s="4" t="s">
        <v>77</v>
      </c>
      <c r="C860" s="5" t="n">
        <v>11.5</v>
      </c>
      <c r="E860" s="5" t="n">
        <v>-2</v>
      </c>
      <c r="F860" s="4" t="s">
        <v>10</v>
      </c>
      <c r="G860" s="4" t="s">
        <v>2601</v>
      </c>
      <c r="H860" s="4" t="s">
        <v>2602</v>
      </c>
      <c r="I860" s="6" t="s">
        <v>13</v>
      </c>
    </row>
    <row r="861" spans="1:9">
      <c r="A861" s="4" t="s">
        <v>2603</v>
      </c>
      <c r="B861" s="4" t="s">
        <v>183</v>
      </c>
      <c r="C861" s="5" t="n">
        <v>7.5</v>
      </c>
      <c r="D861" s="5" t="n">
        <v>5.5</v>
      </c>
      <c r="E861" s="5" t="n">
        <v>4</v>
      </c>
      <c r="F861" s="4" t="s">
        <v>10</v>
      </c>
      <c r="G861" s="4" t="s">
        <v>2604</v>
      </c>
      <c r="H861" s="4" t="s">
        <v>2605</v>
      </c>
      <c r="I861" s="6" t="s">
        <v>13</v>
      </c>
    </row>
    <row r="862" spans="1:9">
      <c r="A862" s="4" t="s">
        <v>2606</v>
      </c>
      <c r="B862" s="4" t="s">
        <v>24</v>
      </c>
      <c r="C862" s="5" t="n">
        <v>38.9</v>
      </c>
      <c r="D862" s="5" t="n">
        <v>7.21</v>
      </c>
      <c r="F862" s="4" t="s">
        <v>10</v>
      </c>
      <c r="G862" s="4" t="s">
        <v>2607</v>
      </c>
      <c r="H862" s="4" t="s">
        <v>2608</v>
      </c>
      <c r="I862" s="6" t="s">
        <v>13</v>
      </c>
    </row>
    <row r="863" spans="1:9">
      <c r="A863" s="4" t="s">
        <v>2609</v>
      </c>
      <c r="B863" s="4" t="s">
        <v>183</v>
      </c>
      <c r="C863" s="5" t="n">
        <v>30</v>
      </c>
      <c r="D863" s="5" t="n">
        <v>16.5</v>
      </c>
      <c r="E863" s="5" t="n">
        <v>2</v>
      </c>
      <c r="F863" s="4" t="s">
        <v>10</v>
      </c>
      <c r="G863" s="4" t="s">
        <v>2610</v>
      </c>
      <c r="H863" s="4" t="s">
        <v>2611</v>
      </c>
      <c r="I863" s="6" t="s">
        <v>13</v>
      </c>
    </row>
    <row r="864" spans="1:9">
      <c r="A864" s="4" t="s">
        <v>2612</v>
      </c>
      <c r="B864" s="4" t="s">
        <v>820</v>
      </c>
      <c r="C864" s="5" t="n">
        <v>22</v>
      </c>
      <c r="E864" s="5" t="n">
        <v>-2</v>
      </c>
      <c r="F864" s="4" t="s">
        <v>10</v>
      </c>
      <c r="G864" s="4" t="s">
        <v>2613</v>
      </c>
      <c r="H864" s="4" t="s">
        <v>2614</v>
      </c>
      <c r="I864" s="6" t="s">
        <v>13</v>
      </c>
    </row>
    <row r="865" spans="1:9">
      <c r="A865" s="4" t="s">
        <v>2615</v>
      </c>
      <c r="B865" s="4" t="s">
        <v>820</v>
      </c>
      <c r="C865" s="5" t="n">
        <v>26</v>
      </c>
      <c r="F865" s="4" t="s">
        <v>10</v>
      </c>
      <c r="G865" s="4" t="s">
        <v>2616</v>
      </c>
      <c r="H865" s="4" t="s">
        <v>2617</v>
      </c>
      <c r="I865" s="6" t="s">
        <v>13</v>
      </c>
    </row>
    <row r="866" spans="1:9">
      <c r="A866" s="4" t="s">
        <v>2618</v>
      </c>
      <c r="B866" s="4" t="s">
        <v>77</v>
      </c>
      <c r="C866" s="5" t="n">
        <v>5.5</v>
      </c>
      <c r="D866" s="5" t="n">
        <v>3.22</v>
      </c>
      <c r="E866" s="5" t="n">
        <v>18</v>
      </c>
      <c r="F866" s="4" t="s">
        <v>10</v>
      </c>
      <c r="G866" s="4" t="s">
        <v>2619</v>
      </c>
      <c r="H866" s="4" t="s">
        <v>2620</v>
      </c>
      <c r="I866" s="6" t="s">
        <v>13</v>
      </c>
    </row>
    <row r="867" spans="1:9">
      <c r="A867" s="4" t="s">
        <v>2621</v>
      </c>
      <c r="B867" s="4" t="s">
        <v>17</v>
      </c>
      <c r="C867" s="5" t="n">
        <v>33.9</v>
      </c>
      <c r="D867" s="5" t="n">
        <v>8.02</v>
      </c>
      <c r="F867" s="4" t="s">
        <v>10</v>
      </c>
      <c r="G867" s="4" t="s">
        <v>2622</v>
      </c>
      <c r="H867" s="4" t="s">
        <v>2623</v>
      </c>
      <c r="I867" s="6" t="s">
        <v>13</v>
      </c>
    </row>
    <row r="868" spans="1:9">
      <c r="A868" s="4" t="s">
        <v>2624</v>
      </c>
      <c r="B868" s="4" t="s">
        <v>17</v>
      </c>
      <c r="C868" s="5" t="n">
        <v>27.9</v>
      </c>
      <c r="D868" s="5" t="n">
        <v>1.38</v>
      </c>
      <c r="F868" s="4" t="s">
        <v>10</v>
      </c>
      <c r="G868" s="4" t="s">
        <v>2625</v>
      </c>
      <c r="H868" s="4" t="s">
        <v>2626</v>
      </c>
      <c r="I868" s="6" t="s">
        <v>13</v>
      </c>
    </row>
    <row r="869" spans="1:9">
      <c r="A869" s="4" t="s">
        <v>2627</v>
      </c>
      <c r="B869" s="4" t="s">
        <v>17</v>
      </c>
      <c r="C869" s="5" t="n">
        <v>17.9</v>
      </c>
      <c r="D869" s="5" t="n">
        <v>1.79</v>
      </c>
      <c r="F869" s="4" t="s">
        <v>10</v>
      </c>
      <c r="G869" s="4" t="s">
        <v>2628</v>
      </c>
      <c r="H869" s="4" t="s">
        <v>2629</v>
      </c>
      <c r="I869" s="6" t="s">
        <v>13</v>
      </c>
    </row>
    <row r="870" spans="1:9">
      <c r="A870" s="4" t="s">
        <v>2630</v>
      </c>
      <c r="B870" s="4" t="s">
        <v>17</v>
      </c>
      <c r="C870" s="5" t="n">
        <v>17.9</v>
      </c>
      <c r="D870" s="5" t="n">
        <v>0.26</v>
      </c>
      <c r="F870" s="4" t="s">
        <v>10</v>
      </c>
      <c r="G870" s="4" t="s">
        <v>2631</v>
      </c>
      <c r="H870" s="4" t="s">
        <v>2632</v>
      </c>
      <c r="I870" s="6" t="s">
        <v>13</v>
      </c>
    </row>
    <row r="871" spans="1:9">
      <c r="A871" s="4" t="s">
        <v>2633</v>
      </c>
      <c r="B871" s="4" t="s">
        <v>1390</v>
      </c>
      <c r="C871" s="5" t="n">
        <v>11.98</v>
      </c>
      <c r="D871" s="5" t="n">
        <v>5.99</v>
      </c>
      <c r="E871" s="5" t="n">
        <v>5</v>
      </c>
      <c r="F871" s="4" t="s">
        <v>10</v>
      </c>
      <c r="G871" s="4" t="s">
        <v>2634</v>
      </c>
      <c r="H871" s="4" t="s">
        <v>2635</v>
      </c>
      <c r="I871" s="6" t="s">
        <v>13</v>
      </c>
    </row>
    <row r="872" spans="1:9">
      <c r="A872" s="4" t="s">
        <v>2636</v>
      </c>
      <c r="B872" s="4" t="s">
        <v>77</v>
      </c>
      <c r="C872" s="5" t="n">
        <v>4</v>
      </c>
      <c r="E872" s="5" t="n">
        <v>-9</v>
      </c>
      <c r="F872" s="4" t="s">
        <v>10</v>
      </c>
      <c r="G872" s="4" t="s">
        <v>2637</v>
      </c>
      <c r="H872" s="4" t="s">
        <v>2638</v>
      </c>
      <c r="I872" s="6" t="s">
        <v>13</v>
      </c>
    </row>
    <row r="873" spans="1:9">
      <c r="A873" s="4" t="s">
        <v>2639</v>
      </c>
      <c r="B873" s="4" t="s">
        <v>77</v>
      </c>
      <c r="C873" s="5" t="n">
        <v>15</v>
      </c>
      <c r="E873" s="5" t="n">
        <v>-3</v>
      </c>
      <c r="F873" s="4" t="s">
        <v>10</v>
      </c>
      <c r="G873" s="4" t="s">
        <v>2640</v>
      </c>
      <c r="H873" s="4" t="s">
        <v>2641</v>
      </c>
      <c r="I873" s="6" t="s">
        <v>13</v>
      </c>
    </row>
    <row r="874" spans="1:9">
      <c r="A874" s="4" t="s">
        <v>2642</v>
      </c>
      <c r="B874" s="4" t="s">
        <v>77</v>
      </c>
      <c r="C874" s="5" t="n">
        <v>4</v>
      </c>
      <c r="E874" s="5" t="n">
        <v>-4</v>
      </c>
      <c r="F874" s="4" t="s">
        <v>10</v>
      </c>
      <c r="G874" s="4" t="s">
        <v>2643</v>
      </c>
      <c r="H874" s="4" t="s">
        <v>2644</v>
      </c>
      <c r="I874" s="6" t="s">
        <v>13</v>
      </c>
    </row>
    <row r="875" spans="1:9">
      <c r="A875" s="4" t="s">
        <v>2645</v>
      </c>
      <c r="B875" s="4" t="s">
        <v>77</v>
      </c>
      <c r="C875" s="5" t="n">
        <v>15</v>
      </c>
      <c r="E875" s="5" t="n">
        <v>-6</v>
      </c>
      <c r="F875" s="4" t="s">
        <v>10</v>
      </c>
      <c r="G875" s="4" t="s">
        <v>2646</v>
      </c>
      <c r="H875" s="4" t="s">
        <v>2647</v>
      </c>
      <c r="I875" s="6" t="s">
        <v>13</v>
      </c>
    </row>
    <row r="876" spans="1:9">
      <c r="A876" s="4" t="s">
        <v>2648</v>
      </c>
      <c r="B876" s="4" t="s">
        <v>77</v>
      </c>
      <c r="C876" s="5" t="n">
        <v>4</v>
      </c>
      <c r="E876" s="5" t="n">
        <v>-2</v>
      </c>
      <c r="F876" s="4" t="s">
        <v>10</v>
      </c>
      <c r="G876" s="4" t="s">
        <v>2649</v>
      </c>
      <c r="H876" s="4" t="s">
        <v>2650</v>
      </c>
      <c r="I876" s="6" t="s">
        <v>13</v>
      </c>
    </row>
    <row r="877" spans="1:9">
      <c r="A877" s="4" t="s">
        <v>2651</v>
      </c>
      <c r="B877" s="4" t="s">
        <v>51</v>
      </c>
      <c r="C877" s="5" t="n">
        <v>5</v>
      </c>
      <c r="E877" s="5" t="n">
        <v>-29</v>
      </c>
      <c r="F877" s="4" t="s">
        <v>10</v>
      </c>
      <c r="G877" s="4" t="s">
        <v>2652</v>
      </c>
      <c r="H877" s="4" t="s">
        <v>2653</v>
      </c>
      <c r="I877" s="6" t="s">
        <v>13</v>
      </c>
    </row>
    <row r="878" spans="1:9">
      <c r="A878" s="4" t="s">
        <v>2654</v>
      </c>
      <c r="B878" s="4" t="s">
        <v>183</v>
      </c>
      <c r="C878" s="5" t="n">
        <v>80</v>
      </c>
      <c r="F878" s="4" t="s">
        <v>10</v>
      </c>
      <c r="G878" s="4" t="s">
        <v>2655</v>
      </c>
      <c r="H878" s="4" t="s">
        <v>2656</v>
      </c>
      <c r="I878" s="6" t="s">
        <v>13</v>
      </c>
    </row>
    <row r="879" spans="1:9">
      <c r="A879" s="4" t="s">
        <v>2657</v>
      </c>
      <c r="B879" s="4" t="s">
        <v>183</v>
      </c>
      <c r="C879" s="5" t="n">
        <v>30</v>
      </c>
      <c r="E879" s="5" t="n">
        <v>10</v>
      </c>
      <c r="F879" s="4" t="s">
        <v>10</v>
      </c>
      <c r="G879" s="4" t="s">
        <v>2658</v>
      </c>
      <c r="H879" s="4" t="s">
        <v>2659</v>
      </c>
      <c r="I879" s="6" t="s">
        <v>13</v>
      </c>
    </row>
    <row r="880" spans="1:9">
      <c r="A880" s="4" t="s">
        <v>2660</v>
      </c>
      <c r="B880" s="4" t="s">
        <v>51</v>
      </c>
      <c r="C880" s="5" t="n">
        <v>6.9</v>
      </c>
      <c r="E880" s="5" t="n">
        <v>-1</v>
      </c>
      <c r="F880" s="4" t="s">
        <v>10</v>
      </c>
      <c r="G880" s="4" t="s">
        <v>2661</v>
      </c>
      <c r="H880" s="4" t="s">
        <v>2662</v>
      </c>
      <c r="I880" s="6" t="s">
        <v>13</v>
      </c>
    </row>
    <row r="881" spans="1:9">
      <c r="A881" s="4">
        <f>="TORRAO AMENDOIM 80G "</f>
      </c>
      <c r="B881" s="4" t="s">
        <v>77</v>
      </c>
      <c r="C881" s="5" t="n">
        <v>5</v>
      </c>
      <c r="D881" s="5" t="n">
        <v>3</v>
      </c>
      <c r="E881" s="5" t="n">
        <v>31</v>
      </c>
      <c r="F881" s="4" t="s">
        <v>10</v>
      </c>
      <c r="G881" s="4" t="s">
        <v>2663</v>
      </c>
      <c r="H881" s="4" t="s">
        <v>2664</v>
      </c>
      <c r="I881" s="6" t="s">
        <v>13</v>
      </c>
    </row>
    <row r="882" spans="1:9">
      <c r="A882" s="4" t="s">
        <v>2665</v>
      </c>
      <c r="B882" s="4" t="s">
        <v>14</v>
      </c>
      <c r="C882" s="5" t="n">
        <v>8.9</v>
      </c>
      <c r="D882" s="5" t="n">
        <v>2.08</v>
      </c>
      <c r="F882" s="4" t="s">
        <v>10</v>
      </c>
      <c r="G882" s="4" t="s">
        <v>2666</v>
      </c>
      <c r="H882" s="4" t="s">
        <v>2667</v>
      </c>
      <c r="I882" s="6" t="s">
        <v>13</v>
      </c>
    </row>
    <row r="883" spans="1:9">
      <c r="A883" s="4" t="s">
        <v>2668</v>
      </c>
      <c r="B883" s="4" t="s">
        <v>24</v>
      </c>
      <c r="C883" s="5" t="n">
        <v>27.9</v>
      </c>
      <c r="D883" s="5" t="n">
        <v>5.83</v>
      </c>
      <c r="F883" s="4" t="s">
        <v>10</v>
      </c>
      <c r="G883" s="4" t="s">
        <v>2669</v>
      </c>
      <c r="H883" s="4" t="s">
        <v>2670</v>
      </c>
      <c r="I883" s="6" t="s">
        <v>13</v>
      </c>
    </row>
    <row r="884" spans="1:9">
      <c r="A884" s="4" t="s">
        <v>2671</v>
      </c>
      <c r="B884" s="4" t="s">
        <v>77</v>
      </c>
      <c r="C884" s="5" t="n">
        <v>4</v>
      </c>
      <c r="D884" s="5" t="n">
        <v>2.13</v>
      </c>
      <c r="E884" s="5" t="n">
        <v>15</v>
      </c>
      <c r="F884" s="4" t="s">
        <v>10</v>
      </c>
      <c r="G884" s="4" t="s">
        <v>2672</v>
      </c>
      <c r="H884" s="4" t="s">
        <v>2673</v>
      </c>
      <c r="I884" s="6" t="s">
        <v>13</v>
      </c>
    </row>
    <row r="885" spans="1:9">
      <c r="A885" s="4" t="s">
        <v>2674</v>
      </c>
      <c r="B885" s="4" t="s">
        <v>77</v>
      </c>
      <c r="C885" s="5" t="n">
        <v>5.5</v>
      </c>
      <c r="D885" s="5" t="n">
        <v>3.77</v>
      </c>
      <c r="E885" s="5" t="n">
        <v>9</v>
      </c>
      <c r="F885" s="4" t="s">
        <v>10</v>
      </c>
      <c r="G885" s="4" t="s">
        <v>2675</v>
      </c>
      <c r="H885" s="4" t="s">
        <v>2676</v>
      </c>
      <c r="I885" s="6" t="s">
        <v>13</v>
      </c>
    </row>
    <row r="886" spans="1:9">
      <c r="A886" s="4" t="s">
        <v>2677</v>
      </c>
      <c r="B886" s="4" t="s">
        <v>183</v>
      </c>
      <c r="C886" s="5" t="n">
        <v>69.9</v>
      </c>
      <c r="D886" s="5" t="n">
        <v>45</v>
      </c>
      <c r="E886" s="5" t="n">
        <v>1</v>
      </c>
      <c r="F886" s="4" t="s">
        <v>10</v>
      </c>
      <c r="G886" s="4" t="s">
        <v>2678</v>
      </c>
      <c r="H886" s="4" t="s">
        <v>2679</v>
      </c>
      <c r="I886" s="6" t="s">
        <v>13</v>
      </c>
    </row>
    <row r="887" spans="1:9">
      <c r="A887" s="4" t="s">
        <v>2680</v>
      </c>
      <c r="B887" s="4" t="s">
        <v>183</v>
      </c>
      <c r="C887" s="5" t="n">
        <v>69.9</v>
      </c>
      <c r="D887" s="5" t="n">
        <v>45</v>
      </c>
      <c r="E887" s="5" t="n">
        <v>1</v>
      </c>
      <c r="F887" s="4" t="s">
        <v>10</v>
      </c>
      <c r="G887" s="4" t="s">
        <v>2681</v>
      </c>
      <c r="H887" s="4" t="s">
        <v>2682</v>
      </c>
      <c r="I887" s="6" t="s">
        <v>13</v>
      </c>
    </row>
    <row r="888" spans="1:9">
      <c r="A888" s="4" t="s">
        <v>2683</v>
      </c>
      <c r="B888" s="4" t="s">
        <v>395</v>
      </c>
      <c r="C888" s="5" t="n">
        <v>23.9</v>
      </c>
      <c r="D888" s="5" t="n">
        <v>13.33</v>
      </c>
      <c r="E888" s="5" t="n">
        <v>12</v>
      </c>
      <c r="F888" s="4" t="s">
        <v>10</v>
      </c>
      <c r="G888" s="4" t="s">
        <v>2684</v>
      </c>
      <c r="H888" s="4" t="s">
        <v>2685</v>
      </c>
      <c r="I888" s="6" t="s">
        <v>13</v>
      </c>
    </row>
    <row r="889" spans="1:9">
      <c r="A889" s="4" t="s">
        <v>2686</v>
      </c>
      <c r="B889" s="4" t="s">
        <v>395</v>
      </c>
      <c r="C889" s="5" t="n">
        <v>200</v>
      </c>
      <c r="E889" s="5" t="n">
        <v>-1</v>
      </c>
      <c r="F889" s="4" t="s">
        <v>10</v>
      </c>
      <c r="G889" s="4" t="s">
        <v>2687</v>
      </c>
      <c r="H889" s="4" t="s">
        <v>2688</v>
      </c>
      <c r="I889" s="6" t="s">
        <v>13</v>
      </c>
    </row>
    <row r="890" spans="1:9">
      <c r="A890" s="4" t="s">
        <v>2689</v>
      </c>
      <c r="B890" s="4" t="s">
        <v>395</v>
      </c>
      <c r="C890" s="5" t="n">
        <v>200</v>
      </c>
      <c r="F890" s="4" t="s">
        <v>10</v>
      </c>
      <c r="G890" s="4" t="s">
        <v>2690</v>
      </c>
      <c r="H890" s="4" t="s">
        <v>2691</v>
      </c>
      <c r="I890" s="6" t="s">
        <v>13</v>
      </c>
    </row>
    <row r="891" spans="1:9">
      <c r="A891" s="4" t="s">
        <v>2692</v>
      </c>
      <c r="B891" s="4" t="s">
        <v>395</v>
      </c>
      <c r="C891" s="5" t="n">
        <v>200</v>
      </c>
      <c r="F891" s="4" t="s">
        <v>10</v>
      </c>
      <c r="G891" s="4" t="s">
        <v>2693</v>
      </c>
      <c r="H891" s="4" t="s">
        <v>2694</v>
      </c>
      <c r="I891" s="6" t="s">
        <v>13</v>
      </c>
    </row>
    <row r="892" spans="1:9">
      <c r="A892" s="4" t="s">
        <v>2695</v>
      </c>
      <c r="B892" s="4" t="s">
        <v>77</v>
      </c>
      <c r="C892" s="5" t="n">
        <v>14</v>
      </c>
      <c r="E892" s="5" t="n">
        <v>-21</v>
      </c>
      <c r="F892" s="4" t="s">
        <v>10</v>
      </c>
      <c r="G892" s="4" t="s">
        <v>2696</v>
      </c>
      <c r="H892" s="4" t="s">
        <v>2697</v>
      </c>
      <c r="I892" s="6" t="s">
        <v>13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2026-06-28T19:39:42.062Z</dcterms:created>
  <dcterms:modified xsi:type="dcterms:W3CDTF">2026-06-28T19:39:42.062Z</dcterms:modified>
</cp:coreProperties>
</file>